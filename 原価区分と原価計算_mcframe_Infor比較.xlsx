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7bccd9f05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原価の区分" sheetId="1" r:id="Re06d2529308845a2"/>
    <x:sheet xmlns:r="http://schemas.openxmlformats.org/officeDocument/2006/relationships" name="02_在庫評価と材料単価" sheetId="2" r:id="Ra4caa63490af4e64"/>
    <x:sheet xmlns:r="http://schemas.openxmlformats.org/officeDocument/2006/relationships" name="03_製品原価計算" sheetId="3" r:id="R52fb592e65f94b08"/>
    <x:sheet xmlns:r="http://schemas.openxmlformats.org/officeDocument/2006/relationships" name="04_製品別比較" sheetId="4" r:id="R0ab7a8b601d146a0"/>
    <x:sheet xmlns:r="http://schemas.openxmlformats.org/officeDocument/2006/relationships" name="05_mcframe" sheetId="5" r:id="R90482d7079ba4953"/>
    <x:sheet xmlns:r="http://schemas.openxmlformats.org/officeDocument/2006/relationships" name="06_Infor_LN" sheetId="6" r:id="Rfd23458a7e3a4854"/>
    <x:sheet xmlns:r="http://schemas.openxmlformats.org/officeDocument/2006/relationships" name="07_Infor_CSI" sheetId="7" r:id="Rb2b6a623d81849de"/>
    <x:sheet xmlns:r="http://schemas.openxmlformats.org/officeDocument/2006/relationships" name="08_計算例" sheetId="8" r:id="R9952f5ee897f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12">
    <x:font>
      <x:sz val="11"/>
      <x:name val="Carlito"/>
    </x:font>
    <x:font>
      <x:sz val="11"/>
      <x:color rgb="FF24344A"/>
      <x:name val="Arial"/>
    </x:font>
    <x:font>
      <x:b/>
      <x:sz val="16"/>
      <x:color rgb="FF17324D"/>
      <x:name val="Arial"/>
    </x:font>
    <x:font>
      <x:sz val="10"/>
      <x:color rgb="FF586779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sz val="11"/>
      <x:color rgb="FF24344A"/>
      <x:name val="Noto Sans CJK JP"/>
    </x:font>
    <x:font>
      <x:b/>
      <x:sz val="16"/>
      <x:color rgb="FF17324D"/>
      <x:name val="Noto Sans CJK JP"/>
    </x:font>
    <x:font>
      <x:sz val="10"/>
      <x:color rgb="FF586779"/>
      <x:name val="Noto Sans CJK JP"/>
    </x:font>
    <x:font>
      <x:b/>
      <x:sz val="11"/>
      <x:color rgb="FFFFFFFF"/>
      <x:name val="Noto Sans CJK JP"/>
    </x:font>
    <x:font>
      <x:sz val="11"/>
      <x:name val="Noto Sans CJK JP"/>
    </x:font>
    <x:font>
      <x:b/>
      <x:sz val="11"/>
      <x:name val="Noto Sans CJK JP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5FA"/>
      </x:patternFill>
    </x:fill>
    <x:fill>
      <x:patternFill patternType="solid">
        <x:fgColor rgb="FFFFF0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1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200" fontId="9" fillId="2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/>
  </x:cellXfs>
  <x:cellStyles count="1">
    <x:cellStyle name="Normal" xfId="0"/>
  </x:cellStyles>
  <x:dxfs count="1">
    <x:dxf>
      <x:font>
        <x:color rgb="FF8A5300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b77a7eba04e1a" /><Relationship Type="http://schemas.openxmlformats.org/officeDocument/2006/relationships/theme" Target="/xl/theme/theme1.xml" Id="Rad8c0a25f42f4d34" /><Relationship Type="http://schemas.openxmlformats.org/officeDocument/2006/relationships/sharedStrings" Target="/xl/sharedStrings.xml" Id="Rec4ccfdd0b3b465f" /><Relationship Type="http://schemas.openxmlformats.org/officeDocument/2006/relationships/worksheet" Target="/xl/worksheets/sheet1.xml" Id="Re06d2529308845a2" /><Relationship Type="http://schemas.openxmlformats.org/officeDocument/2006/relationships/worksheet" Target="/xl/worksheets/sheet2.xml" Id="Ra4caa63490af4e64" /><Relationship Type="http://schemas.openxmlformats.org/officeDocument/2006/relationships/worksheet" Target="/xl/worksheets/sheet3.xml" Id="R52fb592e65f94b08" /><Relationship Type="http://schemas.openxmlformats.org/officeDocument/2006/relationships/worksheet" Target="/xl/worksheets/sheet4.xml" Id="R0ab7a8b601d146a0" /><Relationship Type="http://schemas.openxmlformats.org/officeDocument/2006/relationships/worksheet" Target="/xl/worksheets/sheet5.xml" Id="R90482d7079ba4953" /><Relationship Type="http://schemas.openxmlformats.org/officeDocument/2006/relationships/worksheet" Target="/xl/worksheets/sheet6.xml" Id="Rfd23458a7e3a4854" /><Relationship Type="http://schemas.openxmlformats.org/officeDocument/2006/relationships/worksheet" Target="/xl/worksheets/sheet7.xml" Id="Rb2b6a623d81849de" /><Relationship Type="http://schemas.openxmlformats.org/officeDocument/2006/relationships/worksheet" Target="/xl/worksheets/sheet8.xml" Id="R9952f5ee897f492b" /></Relationships>
</file>

<file path=xl/tables/table1.xml><?xml version="1.0" encoding="utf-8"?>
<x:table xmlns:x="http://schemas.openxmlformats.org/spreadsheetml/2006/main" id="1" name="CostTable1" displayName="CostTable1" ref="A5:E16" headerRowCount="1" totalsRowCount="0" totalsRowShown="0">
  <x:tableColumns count="5">
    <x:tableColumn id="1" name="分類の軸"/>
    <x:tableColumn id="2" name="種類"/>
    <x:tableColumn id="3" name="意味"/>
    <x:tableColumn id="4" name="例"/>
    <x:tableColumn id="5" name="主な用途・確認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Table2" displayName="CostTable2" ref="A5:E13" headerRowCount="1" totalsRowCount="0" totalsRowShown="0">
  <x:tableColumns count="5">
    <x:tableColumn id="1" name="方法"/>
    <x:tableColumn id="2" name="計算の考え方"/>
    <x:tableColumn id="3" name="特徴"/>
    <x:tableColumn id="4" name="適する管理・用途"/>
    <x:tableColumn id="5" name="注意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Table3" displayName="CostTable3" ref="A5:E17" headerRowCount="1" totalsRowCount="0" totalsRowShown="0">
  <x:tableColumns count="5">
    <x:tableColumn id="1" name="分類の軸"/>
    <x:tableColumn id="2" name="方法"/>
    <x:tableColumn id="3" name="意味・計算"/>
    <x:tableColumn id="4" name="主な用途"/>
    <x:tableColumn id="5" name="ERPで確認するこ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Table4" displayName="CostTable4" ref="A5:F19" headerRowCount="1" totalsRowCount="0" totalsRowShown="0">
  <x:tableColumns count="6">
    <x:tableColumn id="1" name="分類"/>
    <x:tableColumn id="2" name="方法・機能"/>
    <x:tableColumn id="3" name="mcframe 7 PCM"/>
    <x:tableColumn id="4" name="Infor LN系"/>
    <x:tableColumn id="5" name="Infor CSI"/>
    <x:tableColumn id="6" name="比較時の確認事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Table5" displayName="CostTable5" ref="A5:D14" headerRowCount="1" totalsRowCount="0" totalsRowShown="0">
  <x:tableColumns count="4">
    <x:tableColumn id="1" name="分類"/>
    <x:tableColumn id="2" name="方法・機能"/>
    <x:tableColumn id="3" name="確認結果"/>
    <x:tableColumn id="4" name="内容・追加確認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stTable6" displayName="CostTable6" ref="A5:D14" headerRowCount="1" totalsRowCount="0" totalsRowShown="0">
  <x:tableColumns count="4">
    <x:tableColumn id="1" name="分類"/>
    <x:tableColumn id="2" name="方法・機能"/>
    <x:tableColumn id="3" name="確認結果"/>
    <x:tableColumn id="4" name="内容・追加確認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stTable7" displayName="CostTable7" ref="A5:D14" headerRowCount="1" totalsRowCount="0" totalsRowShown="0">
  <x:tableColumns count="4">
    <x:tableColumn id="1" name="分類"/>
    <x:tableColumn id="2" name="方法・機能"/>
    <x:tableColumn id="3" name="確認結果"/>
    <x:tableColumn id="4" name="内容・追加確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3f4ac7f530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98ea50aa904b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34142d82ef47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2d1893fc7243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e8dd024b514b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ff03aa9eda4f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ef8c04afa144f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1" hidden="0" customWidth="1"/>
    <x:col min="2" max="2" width="22" hidden="0" customWidth="1"/>
    <x:col min="3" max="3" width="47" hidden="0" customWidth="1"/>
    <x:col min="4" max="4" width="42" hidden="0" customWidth="1"/>
    <x:col min="5" max="5" width="48" hidden="0" customWidth="1"/>
  </x:cols>
  <x:sheetData>
    <x:row r="1">
      <x:c r="A1" s="24"/>
      <x:c r="B1" s="24"/>
      <x:c r="C1" s="24"/>
      <x:c r="D1" s="24"/>
      <x:c r="E1" s="24"/>
    </x:row>
    <x:row r="2">
      <x:c r="A2" s="25" t="str">
        <x:v>原価の区分</x:v>
      </x:c>
      <x:c r="B2" s="24"/>
      <x:c r="C2" s="24"/>
      <x:c r="D2" s="24"/>
      <x:c r="E2" s="24"/>
    </x:row>
    <x:row r="3">
      <x:c r="A3" s="26" t="str">
        <x:v>各分類は組み合わせて使います。直接費＝変動費、間接費＝固定費とは限りません。</x:v>
      </x:c>
      <x:c r="B3" s="24"/>
      <x:c r="C3" s="24"/>
      <x:c r="D3" s="24"/>
      <x:c r="E3" s="24"/>
    </x:row>
    <x:row r="4">
      <x:c r="A4" s="24"/>
      <x:c r="B4" s="24"/>
      <x:c r="C4" s="24"/>
      <x:c r="D4" s="24"/>
      <x:c r="E4" s="24"/>
    </x:row>
    <x:row r="5" ht="30" customHeight="1">
      <x:c r="A5" s="27" t="str">
        <x:v>分類の軸</x:v>
      </x:c>
      <x:c r="B5" s="27" t="str">
        <x:v>種類</x:v>
      </x:c>
      <x:c r="C5" s="27" t="str">
        <x:v>意味</x:v>
      </x:c>
      <x:c r="D5" s="27" t="str">
        <x:v>例</x:v>
      </x:c>
      <x:c r="E5" s="27" t="str">
        <x:v>主な用途・確認点</x:v>
      </x:c>
    </x:row>
    <x:row r="6" ht="48" customHeight="1">
      <x:c r="A6" s="28" t="str">
        <x:v>計算の基準</x:v>
      </x:c>
      <x:c r="B6" s="28" t="str">
        <x:v>実際原価</x:v>
      </x:c>
      <x:c r="C6" s="28" t="str">
        <x:v>実際の消費量と価格・発生費用を基に計算する原価。</x:v>
      </x:c>
      <x:c r="D6" s="28" t="str">
        <x:v>材料実績・作業時間実績・工場費用から算定。</x:v>
      </x:c>
      <x:c r="E6" s="28" t="str">
        <x:v>決算、実績把握。労務費等に予定配賦率を使う場合もある。</x:v>
      </x:c>
    </x:row>
    <x:row r="7" ht="48" customHeight="1">
      <x:c r="A7" s="29" t="str">
        <x:v>計算の基準</x:v>
      </x:c>
      <x:c r="B7" s="29" t="str">
        <x:v>標準原価</x:v>
      </x:c>
      <x:c r="C7" s="29" t="str">
        <x:v>標準的な使用量・作業時間・価格から事前に設定する原価。</x:v>
      </x:c>
      <x:c r="D7" s="29" t="str">
        <x:v>標準使用量2kg × 標準単価100円/kg。</x:v>
      </x:c>
      <x:c r="E7" s="29" t="str">
        <x:v>実績との差異分析、改善活動。標準の設定・改定が必要。</x:v>
      </x:c>
    </x:row>
    <x:row r="8" ht="48" customHeight="1">
      <x:c r="A8" s="28" t="str">
        <x:v>事前設定</x:v>
      </x:c>
      <x:c r="B8" s="28" t="str">
        <x:v>予定原価</x:v>
      </x:c>
      <x:c r="C8" s="28" t="str">
        <x:v>将来の価格・操業度等を予測して設定する原価。</x:v>
      </x:c>
      <x:c r="D8" s="28" t="str">
        <x:v>来期の予定賃率や予定配賦率。</x:v>
      </x:c>
      <x:c r="E8" s="28" t="str">
        <x:v>予算・速報。標準原価と同じ意味とは限らない。</x:v>
      </x:c>
    </x:row>
    <x:row r="9" ht="48" customHeight="1">
      <x:c r="A9" s="29" t="str">
        <x:v>事前設定</x:v>
      </x:c>
      <x:c r="B9" s="29" t="str">
        <x:v>見積原価</x:v>
      </x:c>
      <x:c r="C9" s="29" t="str">
        <x:v>特定の案件・仕様・条件について事前に見積もる原価。</x:v>
      </x:c>
      <x:c r="D9" s="29" t="str">
        <x:v>新製品・受注案件の材料費と加工費を試算。</x:v>
      </x:c>
      <x:c r="E9" s="29" t="str">
        <x:v>見積価格、採算判断。算定精度は設計情報等に依存。</x:v>
      </x:c>
    </x:row>
    <x:row r="10" ht="48" customHeight="1">
      <x:c r="A10" s="28" t="str">
        <x:v>製品に含める範囲</x:v>
      </x:c>
      <x:c r="B10" s="28" t="str">
        <x:v>全部原価</x:v>
      </x:c>
      <x:c r="C10" s="28" t="str">
        <x:v>製造にかかる変動費・固定費の両方を製品原価に含める。</x:v>
      </x:c>
      <x:c r="D10" s="28" t="str">
        <x:v>材料費＋労務費＋製造経費。</x:v>
      </x:c>
      <x:c r="E10" s="28" t="str">
        <x:v>製造原価に販管費を自動的に含める意味ではない。</x:v>
      </x:c>
    </x:row>
    <x:row r="11" ht="48" customHeight="1">
      <x:c r="A11" s="29" t="str">
        <x:v>製品に含める範囲</x:v>
      </x:c>
      <x:c r="B11" s="29" t="str">
        <x:v>部分原価</x:v>
      </x:c>
      <x:c r="C11" s="29" t="str">
        <x:v>目的に応じて原価の一部だけを製品に負担させる。</x:v>
      </x:c>
      <x:c r="D11" s="29" t="str">
        <x:v>変動製造原価だけを対象とする。</x:v>
      </x:c>
      <x:c r="E11" s="29" t="str">
        <x:v>管理会計・意思決定。変動原価は部分原価の代表例。</x:v>
      </x:c>
    </x:row>
    <x:row r="12" ht="48" customHeight="1">
      <x:c r="A12" s="28" t="str">
        <x:v>製品へのひも付け</x:v>
      </x:c>
      <x:c r="B12" s="28" t="str">
        <x:v>直接費</x:v>
      </x:c>
      <x:c r="C12" s="28" t="str">
        <x:v>製品・指図等に直接ひも付けられる費用。</x:v>
      </x:c>
      <x:c r="D12" s="28" t="str">
        <x:v>製品に使った主材料、直接作業の労務費。</x:v>
      </x:c>
      <x:c r="E12" s="28" t="str">
        <x:v>どの費用を直接集計できるか確認する。</x:v>
      </x:c>
    </x:row>
    <x:row r="13" ht="48" customHeight="1">
      <x:c r="A13" s="29" t="str">
        <x:v>製品へのひも付け</x:v>
      </x:c>
      <x:c r="B13" s="29" t="str">
        <x:v>間接費</x:v>
      </x:c>
      <x:c r="C13" s="29" t="str">
        <x:v>複数の製品に共通して発生し、配賦が必要な費用。</x:v>
      </x:c>
      <x:c r="D13" s="29" t="str">
        <x:v>工場共通の電気代・保全費。</x:v>
      </x:c>
      <x:c r="E13" s="29" t="str">
        <x:v>作業時間、機械時間、数量等の配賦基準を決める。</x:v>
      </x:c>
    </x:row>
    <x:row r="14" ht="48" customHeight="1">
      <x:c r="A14" s="28" t="str">
        <x:v>生産量との関係</x:v>
      </x:c>
      <x:c r="B14" s="28" t="str">
        <x:v>変動費</x:v>
      </x:c>
      <x:c r="C14" s="28" t="str">
        <x:v>関連する操業範囲で生産量等に応じて変動する費用。</x:v>
      </x:c>
      <x:c r="D14" s="28" t="str">
        <x:v>主材料費、出来高に比例する外注加工費。</x:v>
      </x:c>
      <x:c r="E14" s="28" t="str">
        <x:v>限界利益・損益分岐点の分析。</x:v>
      </x:c>
    </x:row>
    <x:row r="15" ht="48" customHeight="1">
      <x:c r="A15" s="29" t="str">
        <x:v>生産量との関係</x:v>
      </x:c>
      <x:c r="B15" s="29" t="str">
        <x:v>固定費</x:v>
      </x:c>
      <x:c r="C15" s="29" t="str">
        <x:v>一定期間・一定操業範囲で総額がほぼ一定の費用。</x:v>
      </x:c>
      <x:c r="D15" s="29" t="str">
        <x:v>工場家賃、設備の減価償却費。</x:v>
      </x:c>
      <x:c r="E15" s="29" t="str">
        <x:v>1個当たり固定費は生産量によって変わる。</x:v>
      </x:c>
    </x:row>
    <x:row r="16" ht="48" customHeight="1">
      <x:c r="A16" s="28" t="str">
        <x:v>費用の形態</x:v>
      </x:c>
      <x:c r="B16" s="28" t="str">
        <x:v>材料費・労務費・経費</x:v>
      </x:c>
      <x:c r="C16" s="28" t="str">
        <x:v>何を消費したかで費用を分類する。</x:v>
      </x:c>
      <x:c r="D16" s="28" t="str">
        <x:v>材料の消費／労働の消費／その他の製造費用。</x:v>
      </x:c>
      <x:c r="E16" s="28" t="str">
        <x:v>それぞれに直接費・間接費、変動費・固定費がある。</x:v>
      </x:c>
    </x:row>
  </x:sheetData>
  <x:pageMargins left="0.7" right="0.7" top="0.75" bottom="0.75" header="0.3" footer="0.3"/>
  <x:tableParts count="1">
    <x:tablePart xmlns:r="http://schemas.openxmlformats.org/officeDocument/2006/relationships" r:id="R753f4ac7f53049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50" hidden="0" customWidth="1"/>
    <x:col min="3" max="3" width="39" hidden="0" customWidth="1"/>
    <x:col min="4" max="4" width="38" hidden="0" customWidth="1"/>
    <x:col min="5" max="5" width="49" hidden="0" customWidth="1"/>
  </x:cols>
  <x:sheetData>
    <x:row r="1">
      <x:c r="A1" s="24"/>
      <x:c r="B1" s="24"/>
      <x:c r="C1" s="24"/>
      <x:c r="D1" s="24"/>
      <x:c r="E1" s="24"/>
    </x:row>
    <x:row r="2">
      <x:c r="A2" s="25" t="str">
        <x:v>在庫評価・材料単価の計算方法</x:v>
      </x:c>
      <x:c r="B2" s="24"/>
      <x:c r="C2" s="24"/>
      <x:c r="D2" s="24"/>
      <x:c r="E2" s="24"/>
    </x:row>
    <x:row r="3">
      <x:c r="A3" s="26" t="str">
        <x:v>物流上のFIFOと会計上のFIFOは別に決められます。最終仕入原価は期末在庫評価と払出単価を区別します。</x:v>
      </x:c>
      <x:c r="B3" s="24"/>
      <x:c r="C3" s="24"/>
      <x:c r="D3" s="24"/>
      <x:c r="E3" s="24"/>
    </x:row>
    <x:row r="4">
      <x:c r="A4" s="24"/>
      <x:c r="B4" s="24"/>
      <x:c r="C4" s="24"/>
      <x:c r="D4" s="24"/>
      <x:c r="E4" s="24"/>
    </x:row>
    <x:row r="5" ht="30" customHeight="1">
      <x:c r="A5" s="27" t="str">
        <x:v>方法</x:v>
      </x:c>
      <x:c r="B5" s="27" t="str">
        <x:v>計算の考え方</x:v>
      </x:c>
      <x:c r="C5" s="27" t="str">
        <x:v>特徴</x:v>
      </x:c>
      <x:c r="D5" s="27" t="str">
        <x:v>適する管理・用途</x:v>
      </x:c>
      <x:c r="E5" s="27" t="str">
        <x:v>注意点</x:v>
      </x:c>
    </x:row>
    <x:row r="6" ht="48" customHeight="1">
      <x:c r="A6" s="28" t="str">
        <x:v>先入先出法（FIFO）</x:v>
      </x:c>
      <x:c r="B6" s="28" t="str">
        <x:v>古い入荷の取得原価から順に払出原価を計算する。</x:v>
      </x:c>
      <x:c r="C6" s="28" t="str">
        <x:v>在庫は比較的新しい入荷原価で残る。</x:v>
      </x:c>
      <x:c r="D6" s="28" t="str">
        <x:v>入荷原価を層別に保持できる管理。</x:v>
      </x:c>
      <x:c r="E6" s="28" t="str">
        <x:v>現物の払出順序と原価の消費順序は一致するとは限らない。</x:v>
      </x:c>
    </x:row>
    <x:row r="7" ht="48" customHeight="1">
      <x:c r="A7" s="29" t="str">
        <x:v>移動平均法</x:v>
      </x:c>
      <x:c r="B7" s="29" t="str">
        <x:v>対象となる入荷のたびに、在庫金額と入荷金額を合算して平均単価を更新。</x:v>
      </x:c>
      <x:c r="C7" s="29" t="str">
        <x:v>入荷と払出の時系列で結果が変わる。</x:v>
      </x:c>
      <x:c r="D7" s="29" t="str">
        <x:v>都度の払出単価・在庫金額を管理する。</x:v>
      </x:c>
      <x:c r="E7" s="29" t="str">
        <x:v>負在庫、遡及入荷、返品等の再計算仕様が重要。</x:v>
      </x:c>
    </x:row>
    <x:row r="8" ht="48" customHeight="1">
      <x:c r="A8" s="28" t="str">
        <x:v>総平均法</x:v>
      </x:c>
      <x:c r="B8" s="28" t="str">
        <x:v>期首在庫金額＋期間中受入金額を、期首数量＋受入数量で割る。</x:v>
      </x:c>
      <x:c r="C8" s="28" t="str">
        <x:v>月次等の期間単位で1つの平均単価を使う。</x:v>
      </x:c>
      <x:c r="D8" s="28" t="str">
        <x:v>期間集計による月次原価計算。</x:v>
      </x:c>
      <x:c r="E8" s="28" t="str">
        <x:v>移動平均とは異なる。確定単価は期間終了後に算定。</x:v>
      </x:c>
    </x:row>
    <x:row r="9" ht="48" customHeight="1">
      <x:c r="A9" s="29" t="str">
        <x:v>最終仕入原価法</x:v>
      </x:c>
      <x:c r="B9" s="29" t="str">
        <x:v>期末在庫数量を最後の仕入単価で評価する。</x:v>
      </x:c>
      <x:c r="C9" s="29" t="str">
        <x:v>期末在庫評価を簡便に算定する。</x:v>
      </x:c>
      <x:c r="D9" s="29" t="str">
        <x:v>期末在庫評価の運用を確認する。</x:v>
      </x:c>
      <x:c r="E9" s="29" t="str">
        <x:v>全払出を最終単価で計上する運用とは別。差額処理も確認。</x:v>
      </x:c>
    </x:row>
    <x:row r="10" ht="48" customHeight="1">
      <x:c r="A10" s="28" t="str">
        <x:v>個別法</x:v>
      </x:c>
      <x:c r="B10" s="28" t="str">
        <x:v>特定の物品・ロット等の取得原価を追跡して評価する。</x:v>
      </x:c>
      <x:c r="C10" s="28" t="str">
        <x:v>対象別の実原価を反映する。</x:v>
      </x:c>
      <x:c r="D10" s="28" t="str">
        <x:v>高額品、個体・ロットの原価追跡。</x:v>
      </x:c>
      <x:c r="E10" s="28" t="str">
        <x:v>個別原価計算（製品・案件ごとの集計）とは別概念。</x:v>
      </x:c>
    </x:row>
    <x:row r="11" ht="48" customHeight="1">
      <x:c r="A11" s="29" t="str">
        <x:v>標準単価による評価</x:v>
      </x:c>
      <x:c r="B11" s="29" t="str">
        <x:v>事前に設定した標準単価で入出庫・在庫を評価する。</x:v>
      </x:c>
      <x:c r="C11" s="29" t="str">
        <x:v>実際価格との差は差異として管理する。</x:v>
      </x:c>
      <x:c r="D11" s="29" t="str">
        <x:v>標準原価管理、迅速な採算管理。</x:v>
      </x:c>
      <x:c r="E11" s="29" t="str">
        <x:v>標準改定、差異の在庫・売上原価への反映を確認。</x:v>
      </x:c>
    </x:row>
    <x:row r="12" ht="48" customHeight="1">
      <x:c r="A12" s="28" t="str">
        <x:v>後入先出法（LIFO）</x:v>
      </x:c>
      <x:c r="B12" s="28" t="str">
        <x:v>新しい入荷の取得原価から順に払出原価を計算する。</x:v>
      </x:c>
      <x:c r="C12" s="28" t="str">
        <x:v>Infor製品に機能として掲載される方法。</x:v>
      </x:c>
      <x:c r="D12" s="28" t="str">
        <x:v>海外拠点等の制度・要件と併せて確認。</x:v>
      </x:c>
      <x:c r="E12" s="28" t="str">
        <x:v>システム機能の有無と、適用会計制度での採用可否を別に確認。</x:v>
      </x:c>
    </x:row>
    <x:row r="13" ht="48" customHeight="1">
      <x:c r="A13" s="29" t="str">
        <x:v>売価還元法</x:v>
      </x:c>
      <x:c r="B13" s="29" t="str">
        <x:v>売価で把握した在庫額に原価率を掛けて取得原価を推定する。</x:v>
      </x:c>
      <x:c r="C13" s="29" t="str">
        <x:v>多数の小売商品等をまとめて評価する。</x:v>
      </x:c>
      <x:c r="D13" s="29" t="str">
        <x:v>小売業の在庫評価。</x:v>
      </x:c>
      <x:c r="E13" s="29" t="str">
        <x:v>材料の払出単価方式ではない。今回の製造業ERP比較では対象外。</x:v>
      </x:c>
    </x:row>
  </x:sheetData>
  <x:pageMargins left="0.7" right="0.7" top="0.75" bottom="0.75" header="0.3" footer="0.3"/>
  <x:tableParts count="1">
    <x:tablePart xmlns:r="http://schemas.openxmlformats.org/officeDocument/2006/relationships" r:id="R3498ea50aa904b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31" hidden="0" customWidth="1"/>
    <x:col min="3" max="3" width="54" hidden="0" customWidth="1"/>
    <x:col min="4" max="4" width="34" hidden="0" customWidth="1"/>
    <x:col min="5" max="5" width="47" hidden="0" customWidth="1"/>
  </x:cols>
  <x:sheetData>
    <x:row r="1">
      <x:c r="A1" s="24"/>
      <x:c r="B1" s="24"/>
      <x:c r="C1" s="24"/>
      <x:c r="D1" s="24"/>
      <x:c r="E1" s="24"/>
    </x:row>
    <x:row r="2">
      <x:c r="A2" s="25" t="str">
        <x:v>製品原価の計算方法</x:v>
      </x:c>
      <x:c r="B2" s="24"/>
      <x:c r="C2" s="24"/>
      <x:c r="D2" s="24"/>
      <x:c r="E2" s="24"/>
    </x:row>
    <x:row r="3">
      <x:c r="A3" s="26" t="str">
        <x:v>集計単位、計算基準、原価範囲、工程集計は別の軸です。例：総合原価計算 × 標準原価計算 × 全部原価計算。</x:v>
      </x:c>
      <x:c r="B3" s="24"/>
      <x:c r="C3" s="24"/>
      <x:c r="D3" s="24"/>
      <x:c r="E3" s="24"/>
    </x:row>
    <x:row r="4">
      <x:c r="A4" s="24"/>
      <x:c r="B4" s="24"/>
      <x:c r="C4" s="24"/>
      <x:c r="D4" s="24"/>
      <x:c r="E4" s="24"/>
    </x:row>
    <x:row r="5" ht="30" customHeight="1">
      <x:c r="A5" s="27" t="str">
        <x:v>分類の軸</x:v>
      </x:c>
      <x:c r="B5" s="27" t="str">
        <x:v>方法</x:v>
      </x:c>
      <x:c r="C5" s="27" t="str">
        <x:v>意味・計算</x:v>
      </x:c>
      <x:c r="D5" s="27" t="str">
        <x:v>主な用途</x:v>
      </x:c>
      <x:c r="E5" s="27" t="str">
        <x:v>ERPで確認すること</x:v>
      </x:c>
    </x:row>
    <x:row r="6" ht="48" customHeight="1">
      <x:c r="A6" s="28" t="str">
        <x:v>集計単位</x:v>
      </x:c>
      <x:c r="B6" s="28" t="str">
        <x:v>個別原価計算</x:v>
      </x:c>
      <x:c r="C6" s="28" t="str">
        <x:v>製造指図・案件ごとに材料費、加工費、間接費を集計。</x:v>
      </x:c>
      <x:c r="D6" s="28" t="str">
        <x:v>受注生産、個別仕様品。</x:v>
      </x:c>
      <x:c r="E6" s="28" t="str">
        <x:v>製造指図、ロット、受注のどの単位まで追跡できるか。</x:v>
      </x:c>
    </x:row>
    <x:row r="7" ht="48" customHeight="1">
      <x:c r="A7" s="29" t="str">
        <x:v>集計単位</x:v>
      </x:c>
      <x:c r="B7" s="29" t="str">
        <x:v>総合原価計算</x:v>
      </x:c>
      <x:c r="C7" s="29" t="str">
        <x:v>一定期間の原価を製品群・工程ごとに集計し、完成品と仕掛品に配分。</x:v>
      </x:c>
      <x:c r="D7" s="29" t="str">
        <x:v>反復・連続生産、量産品。</x:v>
      </x:c>
      <x:c r="E7" s="29" t="str">
        <x:v>仕掛品の進捗度、完成品換算量、月次締め。</x:v>
      </x:c>
    </x:row>
    <x:row r="8" ht="48" customHeight="1">
      <x:c r="A8" s="28" t="str">
        <x:v>総合原価の類型</x:v>
      </x:c>
      <x:c r="B8" s="28" t="str">
        <x:v>単純総合原価計算</x:v>
      </x:c>
      <x:c r="C8" s="28" t="str">
        <x:v>同種製品を一括して計算する。</x:v>
      </x:c>
      <x:c r="D8" s="28" t="str">
        <x:v>単一種類の量産。</x:v>
      </x:c>
      <x:c r="E8" s="28" t="str">
        <x:v>単価計算に使う生産数量と仕掛評価。</x:v>
      </x:c>
    </x:row>
    <x:row r="9" ht="48" customHeight="1">
      <x:c r="A9" s="29" t="str">
        <x:v>総合原価の類型</x:v>
      </x:c>
      <x:c r="B9" s="29" t="str">
        <x:v>組別総合原価計算</x:v>
      </x:c>
      <x:c r="C9" s="29" t="str">
        <x:v>製品の組・種類ごとに原価を分けて計算する。</x:v>
      </x:c>
      <x:c r="D9" s="29" t="str">
        <x:v>複数種類を継続生産。</x:v>
      </x:c>
      <x:c r="E9" s="29" t="str">
        <x:v>組の設定と共通費の配賦。</x:v>
      </x:c>
    </x:row>
    <x:row r="10" ht="48" customHeight="1">
      <x:c r="A10" s="28" t="str">
        <x:v>総合原価の類型</x:v>
      </x:c>
      <x:c r="B10" s="28" t="str">
        <x:v>等級別総合原価計算</x:v>
      </x:c>
      <x:c r="C10" s="28" t="str">
        <x:v>共通工程の製品を等価係数などで重み付けして原価配分。</x:v>
      </x:c>
      <x:c r="D10" s="28" t="str">
        <x:v>サイズ・品質等が異なる同系製品。</x:v>
      </x:c>
      <x:c r="E10" s="28" t="str">
        <x:v>等価係数と数量を使った配分が可能か。</x:v>
      </x:c>
    </x:row>
    <x:row r="11" ht="48" customHeight="1">
      <x:c r="A11" s="29" t="str">
        <x:v>工程集計</x:v>
      </x:c>
      <x:c r="B11" s="29" t="str">
        <x:v>工程別総合原価計算</x:v>
      </x:c>
      <x:c r="C11" s="29" t="str">
        <x:v>工程別に集計し、前工程費用を含めた製品原価を算定。</x:v>
      </x:c>
      <x:c r="D11" s="29" t="str">
        <x:v>複数工程を通る量産製品。</x:v>
      </x:c>
      <x:c r="E11" s="29" t="str">
        <x:v>累加法・非累加法、工程間の仕掛と振替。</x:v>
      </x:c>
    </x:row>
    <x:row r="12" ht="48" customHeight="1">
      <x:c r="A12" s="28" t="str">
        <x:v>工程集計</x:v>
      </x:c>
      <x:c r="B12" s="28" t="str">
        <x:v>累加法／非累加法</x:v>
      </x:c>
      <x:c r="C12" s="28" t="str">
        <x:v>累加法は前工程費を次工程へ引継ぎ。非累加法は工程費を区別して把握。</x:v>
      </x:c>
      <x:c r="D12" s="28" t="str">
        <x:v>工程別の原価管理。</x:v>
      </x:c>
      <x:c r="E12" s="28" t="str">
        <x:v>前工程費のころがし計算と工程別内訳。</x:v>
      </x:c>
    </x:row>
    <x:row r="13" ht="48" customHeight="1">
      <x:c r="A13" s="29" t="str">
        <x:v>計算基準</x:v>
      </x:c>
      <x:c r="B13" s="29" t="str">
        <x:v>実際原価計算</x:v>
      </x:c>
      <x:c r="C13" s="29" t="str">
        <x:v>実際の消費・発生費用等を基に計算する。</x:v>
      </x:c>
      <x:c r="D13" s="29" t="str">
        <x:v>実績採算・決算原価。</x:v>
      </x:c>
      <x:c r="E13" s="29" t="str">
        <x:v>実績数量、作業時間、費用、配賦率の収集方法。</x:v>
      </x:c>
    </x:row>
    <x:row r="14" ht="48" customHeight="1">
      <x:c r="A14" s="28" t="str">
        <x:v>計算基準</x:v>
      </x:c>
      <x:c r="B14" s="28" t="str">
        <x:v>標準原価計算</x:v>
      </x:c>
      <x:c r="C14" s="28" t="str">
        <x:v>標準数量・時間・価格で計算し、実際との差異を分析。</x:v>
      </x:c>
      <x:c r="D14" s="28" t="str">
        <x:v>価格差異・数量差異等の原価管理。</x:v>
      </x:c>
      <x:c r="E14" s="28" t="str">
        <x:v>標準改定、差異の分解と会計処理。</x:v>
      </x:c>
    </x:row>
    <x:row r="15" ht="48" customHeight="1">
      <x:c r="A15" s="29" t="str">
        <x:v>原価範囲</x:v>
      </x:c>
      <x:c r="B15" s="29" t="str">
        <x:v>全部原価計算</x:v>
      </x:c>
      <x:c r="C15" s="29" t="str">
        <x:v>変動製造費と固定製造費を製品原価に含める。</x:v>
      </x:c>
      <x:c r="D15" s="29" t="str">
        <x:v>製品原価・在庫評価。</x:v>
      </x:c>
      <x:c r="E15" s="29" t="str">
        <x:v>固定製造間接費の配賦と操業度差異。</x:v>
      </x:c>
    </x:row>
    <x:row r="16" ht="48" customHeight="1">
      <x:c r="A16" s="28" t="str">
        <x:v>原価範囲</x:v>
      </x:c>
      <x:c r="B16" s="28" t="str">
        <x:v>直接原価計算（変動原価計算）</x:v>
      </x:c>
      <x:c r="C16" s="28" t="str">
        <x:v>変動費を製品に負担させ、固定費は期間費用として管理する。</x:v>
      </x:c>
      <x:c r="D16" s="28" t="str">
        <x:v>限界利益・意思決定。</x:v>
      </x:c>
      <x:c r="E16" s="28" t="str">
        <x:v>ここでの「直接」は製品に直接ひも付く費用だけの意味ではない。</x:v>
      </x:c>
    </x:row>
    <x:row r="17" ht="48" customHeight="1">
      <x:c r="A17" s="29" t="str">
        <x:v>間接費の配賦</x:v>
      </x:c>
      <x:c r="B17" s="29" t="str">
        <x:v>ABC（活動基準原価計算）</x:v>
      </x:c>
      <x:c r="C17" s="29" t="str">
        <x:v>活動別に費用を集め、活動量を基に製品等へ配賦。</x:v>
      </x:c>
      <x:c r="D17" s="29" t="str">
        <x:v>段取、検査、搬送等の負担把握。</x:v>
      </x:c>
      <x:c r="E17" s="29" t="str">
        <x:v>活動量の取得、配賦ドライバー、別モジュールの要否。</x:v>
      </x:c>
    </x:row>
  </x:sheetData>
  <x:pageMargins left="0.7" right="0.7" top="0.75" bottom="0.75" header="0.3" footer="0.3"/>
  <x:tableParts count="1">
    <x:tablePart xmlns:r="http://schemas.openxmlformats.org/officeDocument/2006/relationships" r:id="R3c34142d82ef47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3" hidden="0" customWidth="1"/>
    <x:col min="4" max="4" width="23" hidden="0" customWidth="1"/>
    <x:col min="5" max="5" width="23" hidden="0" customWidth="1"/>
    <x:col min="6" max="6" width="60" hidden="0" customWidth="1"/>
  </x:cols>
  <x:sheetData>
    <x:row r="1">
      <x:c r="A1" s="24"/>
      <x:c r="B1" s="24"/>
      <x:c r="C1" s="24"/>
      <x:c r="D1" s="24"/>
      <x:c r="E1" s="24"/>
      <x:c r="F1" s="24"/>
    </x:row>
    <x:row r="2">
      <x:c r="A2" s="25" t="str">
        <x:v>mcframe・Inforの原価計算機能比較</x:v>
      </x:c>
      <x:c r="B2" s="24"/>
      <x:c r="C2" s="24"/>
      <x:c r="D2" s="24"/>
      <x:c r="E2" s="24"/>
      <x:c r="F2" s="24"/>
    </x:row>
    <x:row r="3">
      <x:c r="A3" s="26" t="str">
        <x:v>確認日：2026-10-04。確認済＝公式資料に明記。相当機能あり＝用語・粒度の対応確認が必要。要確認＝非対応の断定ではありません。</x:v>
      </x:c>
      <x:c r="B3" s="24"/>
      <x:c r="C3" s="24"/>
      <x:c r="D3" s="24"/>
      <x:c r="E3" s="24"/>
      <x:c r="F3" s="24"/>
    </x:row>
    <x:row r="4">
      <x:c r="A4" s="24"/>
      <x:c r="B4" s="24"/>
      <x:c r="C4" s="24"/>
      <x:c r="D4" s="24"/>
      <x:c r="E4" s="24"/>
      <x:c r="F4" s="24"/>
    </x:row>
    <x:row r="5" ht="30" customHeight="1">
      <x:c r="A5" s="27" t="str">
        <x:v>分類</x:v>
      </x:c>
      <x:c r="B5" s="27" t="str">
        <x:v>方法・機能</x:v>
      </x:c>
      <x:c r="C5" s="27" t="str">
        <x:v>mcframe 7 PCM</x:v>
      </x:c>
      <x:c r="D5" s="27" t="str">
        <x:v>Infor LN系</x:v>
      </x:c>
      <x:c r="E5" s="27" t="str">
        <x:v>Infor CSI</x:v>
      </x:c>
      <x:c r="F5" s="27" t="str">
        <x:v>比較時の確認事項</x:v>
      </x:c>
    </x:row>
    <x:row r="6" ht="30" customHeight="1">
      <x:c r="A6" s="28" t="str">
        <x:v>計算基準</x:v>
      </x:c>
      <x:c r="B6" s="28" t="str">
        <x:v>標準原価計算</x:v>
      </x:c>
      <x:c r="C6" s="28" t="str">
        <x:v>確認済</x:v>
      </x:c>
      <x:c r="D6" s="28" t="str">
        <x:v>確認済</x:v>
      </x:c>
      <x:c r="E6" s="28" t="str">
        <x:v>確認済</x:v>
      </x:c>
      <x:c r="F6" s="28" t="str">
        <x:v>標準の改定・差異処理の運用も確認</x:v>
      </x:c>
    </x:row>
    <x:row r="7" ht="30" customHeight="1">
      <x:c r="A7" s="29" t="str">
        <x:v>計算基準</x:v>
      </x:c>
      <x:c r="B7" s="29" t="str">
        <x:v>実際原価計算</x:v>
      </x:c>
      <x:c r="C7" s="29" t="str">
        <x:v>確認済</x:v>
      </x:c>
      <x:c r="D7" s="29" t="str">
        <x:v>確認済</x:v>
      </x:c>
      <x:c r="E7" s="29" t="str">
        <x:v>確認済</x:v>
      </x:c>
      <x:c r="F7" s="29" t="str">
        <x:v>予定配賦率と実際費用の差額精算を確認</x:v>
      </x:c>
    </x:row>
    <x:row r="8" ht="30" customHeight="1">
      <x:c r="A8" s="28" t="str">
        <x:v>集計単位</x:v>
      </x:c>
      <x:c r="B8" s="28" t="str">
        <x:v>個別原価計算</x:v>
      </x:c>
      <x:c r="C8" s="28" t="str">
        <x:v>確認済</x:v>
      </x:c>
      <x:c r="D8" s="28" t="str">
        <x:v>相当機能あり</x:v>
      </x:c>
      <x:c r="E8" s="28" t="str">
        <x:v>相当機能あり</x:v>
      </x:c>
      <x:c r="F8" s="28" t="str">
        <x:v>LNは製造オーダー／PCS、CSIはジョブ単位</x:v>
      </x:c>
    </x:row>
    <x:row r="9" ht="30" customHeight="1">
      <x:c r="A9" s="29" t="str">
        <x:v>集計単位</x:v>
      </x:c>
      <x:c r="B9" s="29" t="str">
        <x:v>総合原価計算</x:v>
      </x:c>
      <x:c r="C9" s="29" t="str">
        <x:v>確認済</x:v>
      </x:c>
      <x:c r="D9" s="29" t="str">
        <x:v>要確認</x:v>
      </x:c>
      <x:c r="E9" s="29" t="str">
        <x:v>要確認</x:v>
      </x:c>
      <x:c r="F9" s="29" t="str">
        <x:v>量産対応と日本式の月次総合原価は同義でない</x:v>
      </x:c>
    </x:row>
    <x:row r="10" ht="30" customHeight="1">
      <x:c r="A10" s="28" t="str">
        <x:v>在庫評価</x:v>
      </x:c>
      <x:c r="B10" s="28" t="str">
        <x:v>FIFO</x:v>
      </x:c>
      <x:c r="C10" s="28" t="str">
        <x:v>要確認</x:v>
      </x:c>
      <x:c r="D10" s="28" t="str">
        <x:v>確認済</x:v>
      </x:c>
      <x:c r="E10" s="28" t="str">
        <x:v>確認済</x:v>
      </x:c>
      <x:c r="F10" s="28" t="str">
        <x:v>mcframeはSCM・PCMの処理範囲を確認</x:v>
      </x:c>
    </x:row>
    <x:row r="11" ht="30" customHeight="1">
      <x:c r="A11" s="29" t="str">
        <x:v>在庫評価</x:v>
      </x:c>
      <x:c r="B11" s="29" t="str">
        <x:v>移動平均</x:v>
      </x:c>
      <x:c r="C11" s="29" t="str">
        <x:v>要確認</x:v>
      </x:c>
      <x:c r="D11" s="29" t="str">
        <x:v>確認済</x:v>
      </x:c>
      <x:c r="E11" s="29" t="str">
        <x:v>確認済</x:v>
      </x:c>
      <x:c r="F11" s="29" t="str">
        <x:v>LNはMAUC、CSIはAverage</x:v>
      </x:c>
    </x:row>
    <x:row r="12" ht="30" customHeight="1">
      <x:c r="A12" s="28" t="str">
        <x:v>在庫評価</x:v>
      </x:c>
      <x:c r="B12" s="28" t="str">
        <x:v>総平均</x:v>
      </x:c>
      <x:c r="C12" s="28" t="str">
        <x:v>要確認</x:v>
      </x:c>
      <x:c r="D12" s="28" t="str">
        <x:v>要確認</x:v>
      </x:c>
      <x:c r="E12" s="28" t="str">
        <x:v>要確認</x:v>
      </x:c>
      <x:c r="F12" s="28" t="str">
        <x:v>月次総平均の再計算仕様を実演依頼</x:v>
      </x:c>
    </x:row>
    <x:row r="13" ht="30" customHeight="1">
      <x:c r="A13" s="29" t="str">
        <x:v>在庫評価</x:v>
      </x:c>
      <x:c r="B13" s="29" t="str">
        <x:v>最終仕入原価</x:v>
      </x:c>
      <x:c r="C13" s="29" t="str">
        <x:v>要確認</x:v>
      </x:c>
      <x:c r="D13" s="29" t="str">
        <x:v>要確認</x:v>
      </x:c>
      <x:c r="E13" s="29" t="str">
        <x:v>要確認</x:v>
      </x:c>
      <x:c r="F13" s="29" t="str">
        <x:v>最新仕入価格の保持と在庫評価方式を区別</x:v>
      </x:c>
    </x:row>
    <x:row r="14" ht="30" customHeight="1">
      <x:c r="A14" s="28" t="str">
        <x:v>在庫評価</x:v>
      </x:c>
      <x:c r="B14" s="28" t="str">
        <x:v>個別法に相当</x:v>
      </x:c>
      <x:c r="C14" s="28" t="str">
        <x:v>要確認</x:v>
      </x:c>
      <x:c r="D14" s="28" t="str">
        <x:v>相当機能あり</x:v>
      </x:c>
      <x:c r="E14" s="28" t="str">
        <x:v>相当機能あり</x:v>
      </x:c>
      <x:c r="F14" s="28" t="str">
        <x:v>LNはLot／Serial、CSIはSpecific。粒度の一致を確認</x:v>
      </x:c>
    </x:row>
    <x:row r="15" ht="30" customHeight="1">
      <x:c r="A15" s="29" t="str">
        <x:v>在庫評価</x:v>
      </x:c>
      <x:c r="B15" s="29" t="str">
        <x:v>標準単価評価</x:v>
      </x:c>
      <x:c r="C15" s="29" t="str">
        <x:v>要確認</x:v>
      </x:c>
      <x:c r="D15" s="29" t="str">
        <x:v>確認済</x:v>
      </x:c>
      <x:c r="E15" s="29" t="str">
        <x:v>確認済</x:v>
      </x:c>
      <x:c r="F15" s="29" t="str">
        <x:v>mcframe PCMの標準原価計算とSCMの入出庫評価を区別</x:v>
      </x:c>
    </x:row>
    <x:row r="16" ht="30" customHeight="1">
      <x:c r="A16" s="28" t="str">
        <x:v>在庫評価</x:v>
      </x:c>
      <x:c r="B16" s="28" t="str">
        <x:v>LIFO</x:v>
      </x:c>
      <x:c r="C16" s="28" t="str">
        <x:v>要確認</x:v>
      </x:c>
      <x:c r="D16" s="28" t="str">
        <x:v>確認済</x:v>
      </x:c>
      <x:c r="E16" s="28" t="str">
        <x:v>確認済</x:v>
      </x:c>
      <x:c r="F16" s="28" t="str">
        <x:v>適用制度と会計設定を確認</x:v>
      </x:c>
    </x:row>
    <x:row r="17" ht="30" customHeight="1">
      <x:c r="A17" s="29" t="str">
        <x:v>分析</x:v>
      </x:c>
      <x:c r="B17" s="29" t="str">
        <x:v>標準・実際の差異分析</x:v>
      </x:c>
      <x:c r="C17" s="29" t="str">
        <x:v>確認済</x:v>
      </x:c>
      <x:c r="D17" s="29" t="str">
        <x:v>確認済</x:v>
      </x:c>
      <x:c r="E17" s="29" t="str">
        <x:v>確認済</x:v>
      </x:c>
      <x:c r="F17" s="29" t="str">
        <x:v>差異分類と原価への反映方式を確認</x:v>
      </x:c>
    </x:row>
    <x:row r="18" ht="30" customHeight="1">
      <x:c r="A18" s="28" t="str">
        <x:v>計画</x:v>
      </x:c>
      <x:c r="B18" s="28" t="str">
        <x:v>原価シミュレーション</x:v>
      </x:c>
      <x:c r="C18" s="28" t="str">
        <x:v>確認済</x:v>
      </x:c>
      <x:c r="D18" s="28" t="str">
        <x:v>確認済</x:v>
      </x:c>
      <x:c r="E18" s="28" t="str">
        <x:v>確認済</x:v>
      </x:c>
      <x:c r="F18" s="28" t="str">
        <x:v>予算策定の範囲と追加機能を確認</x:v>
      </x:c>
    </x:row>
    <x:row r="19" ht="30" customHeight="1">
      <x:c r="A19" s="29" t="str">
        <x:v>配賦</x:v>
      </x:c>
      <x:c r="B19" s="29" t="str">
        <x:v>部門間の相互・階梯配賦</x:v>
      </x:c>
      <x:c r="C19" s="29" t="str">
        <x:v>確認済</x:v>
      </x:c>
      <x:c r="D19" s="29" t="str">
        <x:v>要確認</x:v>
      </x:c>
      <x:c r="E19" s="29" t="str">
        <x:v>要確認</x:v>
      </x:c>
      <x:c r="F19" s="29" t="str">
        <x:v>製造原価内の間接費付加とは別に確認</x:v>
      </x:c>
    </x:row>
  </x:sheetData>
  <x:conditionalFormatting sqref="C6:E19">
    <x:cfRule type="containsText" dxfId="0" priority="1" operator="containsText" text="要確認"/>
  </x:conditionalFormatting>
  <x:pageMargins left="0.7" right="0.7" top="0.75" bottom="0.75" header="0.3" footer="0.3"/>
  <x:tableParts count="1">
    <x:tablePart xmlns:r="http://schemas.openxmlformats.org/officeDocument/2006/relationships" r:id="R722d1893fc7243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35" hidden="0" customWidth="1"/>
    <x:col min="3" max="3" width="20" hidden="0" customWidth="1"/>
    <x:col min="4" max="4" width="75" hidden="0" customWidth="1"/>
  </x:cols>
  <x:sheetData>
    <x:row r="1">
      <x:c r="A1" s="24"/>
      <x:c r="B1" s="24"/>
      <x:c r="C1" s="24"/>
      <x:c r="D1" s="24"/>
    </x:row>
    <x:row r="2">
      <x:c r="A2" s="25" t="str">
        <x:v>mcframe 7 PCMで確認できる機能</x:v>
      </x:c>
      <x:c r="B2" s="24"/>
      <x:c r="C2" s="24"/>
      <x:c r="D2" s="24"/>
    </x:row>
    <x:row r="3">
      <x:c r="A3" s="26" t="str">
        <x:v>原価管理モジュールの公式公開情報を整理。SCMの入出庫評価方式は別途確認します。</x:v>
      </x:c>
      <x:c r="B3" s="24"/>
      <x:c r="C3" s="24"/>
      <x:c r="D3" s="24"/>
    </x:row>
    <x:row r="4">
      <x:c r="A4" s="24"/>
      <x:c r="B4" s="24"/>
      <x:c r="C4" s="24"/>
      <x:c r="D4" s="24"/>
    </x:row>
    <x:row r="5" ht="30" customHeight="1">
      <x:c r="A5" s="27" t="str">
        <x:v>分類</x:v>
      </x:c>
      <x:c r="B5" s="27" t="str">
        <x:v>方法・機能</x:v>
      </x:c>
      <x:c r="C5" s="27" t="str">
        <x:v>確認結果</x:v>
      </x:c>
      <x:c r="D5" s="27" t="str">
        <x:v>内容・追加確認</x:v>
      </x:c>
    </x:row>
    <x:row r="6" ht="48" customHeight="1">
      <x:c r="A6" s="28" t="str">
        <x:v>計算基準</x:v>
      </x:c>
      <x:c r="B6" s="28" t="str">
        <x:v>標準・実際・予算原価</x:v>
      </x:c>
      <x:c r="C6" s="28" t="str">
        <x:v>確認済</x:v>
      </x:c>
      <x:c r="D6" s="28" t="str">
        <x:v>標準と実際の差異分析、予算と実際の比較。</x:v>
      </x:c>
    </x:row>
    <x:row r="7" ht="48" customHeight="1">
      <x:c r="A7" s="29" t="str">
        <x:v>集計単位</x:v>
      </x:c>
      <x:c r="B7" s="29" t="str">
        <x:v>個別／総合原価計算</x:v>
      </x:c>
      <x:c r="C7" s="29" t="str">
        <x:v>確認済</x:v>
      </x:c>
      <x:c r="D7" s="29" t="str">
        <x:v>製造指図別と連続生産等の集計に対応。</x:v>
      </x:c>
    </x:row>
    <x:row r="8" ht="48" customHeight="1">
      <x:c r="A8" s="28" t="str">
        <x:v>計画</x:v>
      </x:c>
      <x:c r="B8" s="28" t="str">
        <x:v>見積シミュレーション</x:v>
      </x:c>
      <x:c r="C8" s="28" t="str">
        <x:v>確認済</x:v>
      </x:c>
      <x:c r="D8" s="28" t="str">
        <x:v>条件を変えた原価試算。予算策定シミュレーションはオプション記載あり。</x:v>
      </x:c>
    </x:row>
    <x:row r="9" ht="48" customHeight="1">
      <x:c r="A9" s="29" t="str">
        <x:v>部門配賦</x:v>
      </x:c>
      <x:c r="B9" s="29" t="str">
        <x:v>直接・相互・階梯式配賦</x:v>
      </x:c>
      <x:c r="C9" s="29" t="str">
        <x:v>確認済</x:v>
      </x:c>
      <x:c r="D9" s="29" t="str">
        <x:v>多段階の部門間配賦。</x:v>
      </x:c>
    </x:row>
    <x:row r="10" ht="48" customHeight="1">
      <x:c r="A10" s="28" t="str">
        <x:v>品目配賦</x:v>
      </x:c>
      <x:c r="B10" s="28" t="str">
        <x:v>時間・数量などの配賦</x:v>
      </x:c>
      <x:c r="C10" s="28" t="str">
        <x:v>確認済</x:v>
      </x:c>
      <x:c r="D10" s="28" t="str">
        <x:v>品目に間接費等を配賦。</x:v>
      </x:c>
    </x:row>
    <x:row r="11" ht="48" customHeight="1">
      <x:c r="A11" s="29" t="str">
        <x:v>利益分析</x:v>
      </x:c>
      <x:c r="B11" s="29" t="str">
        <x:v>限界利益、品目別損益</x:v>
      </x:c>
      <x:c r="C11" s="29" t="str">
        <x:v>確認済</x:v>
      </x:c>
      <x:c r="D11" s="29" t="str">
        <x:v>変動費を区分した採算分析。</x:v>
      </x:c>
    </x:row>
    <x:row r="12" ht="48" customHeight="1">
      <x:c r="A12" s="28" t="str">
        <x:v>在庫評価</x:v>
      </x:c>
      <x:c r="B12" s="28" t="str">
        <x:v>FIFO／平均／個別／最終仕入</x:v>
      </x:c>
      <x:c r="C12" s="28" t="str">
        <x:v>要確認</x:v>
      </x:c>
      <x:c r="D12" s="28" t="str">
        <x:v>SCMとPCMの評価方式、月次精算、受払連携を確認。</x:v>
      </x:c>
    </x:row>
    <x:row r="13" ht="48" customHeight="1">
      <x:c r="A13" s="29" t="str">
        <x:v>工程集計</x:v>
      </x:c>
      <x:c r="B13" s="29" t="str">
        <x:v>等級別・累加法・非累加法</x:v>
      </x:c>
      <x:c r="C13" s="29" t="str">
        <x:v>要確認</x:v>
      </x:c>
      <x:c r="D13" s="29" t="str">
        <x:v>今回のPCM公開ページだけでは詳細を確定できない。</x:v>
      </x:c>
    </x:row>
    <x:row r="14" ht="48" customHeight="1">
      <x:c r="A14" s="28" t="str">
        <x:v>導入範囲</x:v>
      </x:c>
      <x:c r="B14" s="28" t="str">
        <x:v>原価管理の単独導入</x:v>
      </x:c>
      <x:c r="C14" s="28" t="str">
        <x:v>確認済</x:v>
      </x:c>
      <x:c r="D14" s="28" t="str">
        <x:v>他システムから実績等を連携できる。</x:v>
      </x:c>
    </x:row>
    <x:row r="15">
      <x:c r="A15" s="30"/>
      <x:c r="B15" s="30"/>
      <x:c r="C15" s="30"/>
      <x:c r="D15" s="30"/>
    </x:row>
    <x:row r="16">
      <x:c r="A16" s="30"/>
      <x:c r="B16" s="30"/>
      <x:c r="C16" s="30"/>
      <x:c r="D16" s="30"/>
    </x:row>
    <x:row r="17">
      <x:c r="A17" s="31" t="str">
        <x:v>公式資料・対象バージョン</x:v>
      </x:c>
      <x:c r="B17" s="30"/>
      <x:c r="C17" s="30"/>
      <x:c r="D17" s="30"/>
    </x:row>
    <x:row r="18" ht="65" customHeight="1">
      <x:c r="A18" s="32" t="str">
        <x:v>M1</x:v>
      </x:c>
      <x:c r="B18" s="32" t="str">
        <x:v>mcframe 7 PCM</x:v>
      </x:c>
      <x:c r="C18" s="32" t="str">
        <x:v>公開製品ページ</x:v>
      </x:c>
      <x:c r="D18" s="32" t="str">
        <x:v>https://www.mcframe.com/product/7/pcm</x:v>
      </x:c>
    </x:row>
  </x:sheetData>
  <x:pageMargins left="0.7" right="0.7" top="0.75" bottom="0.75" header="0.3" footer="0.3"/>
  <x:tableParts count="1">
    <x:tablePart xmlns:r="http://schemas.openxmlformats.org/officeDocument/2006/relationships" r:id="Rb6e8dd024b514b2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39" hidden="0" customWidth="1"/>
    <x:col min="3" max="3" width="22" hidden="0" customWidth="1"/>
    <x:col min="4" max="4" width="72" hidden="0" customWidth="1"/>
  </x:cols>
  <x:sheetData>
    <x:row r="1">
      <x:c r="A1" s="24"/>
      <x:c r="B1" s="24"/>
      <x:c r="C1" s="24"/>
      <x:c r="D1" s="24"/>
    </x:row>
    <x:row r="2">
      <x:c r="A2" s="25" t="str">
        <x:v>Infor LN系で確認できる機能</x:v>
      </x:c>
      <x:c r="B2" s="24"/>
      <x:c r="C2" s="24"/>
      <x:c r="D2" s="24"/>
    </x:row>
    <x:row r="3">
      <x:c r="A3" s="26" t="str">
        <x:v>CloudSuite AutomotiveにはLNの資料が含まれます。採用する製品・リリース・モジュールでの適用を確認してください。</x:v>
      </x:c>
      <x:c r="B3" s="24"/>
      <x:c r="C3" s="24"/>
      <x:c r="D3" s="24"/>
    </x:row>
    <x:row r="4">
      <x:c r="A4" s="24"/>
      <x:c r="B4" s="24"/>
      <x:c r="C4" s="24"/>
      <x:c r="D4" s="24"/>
    </x:row>
    <x:row r="5" ht="30" customHeight="1">
      <x:c r="A5" s="27" t="str">
        <x:v>分類</x:v>
      </x:c>
      <x:c r="B5" s="27" t="str">
        <x:v>方法・機能</x:v>
      </x:c>
      <x:c r="C5" s="27" t="str">
        <x:v>確認結果</x:v>
      </x:c>
      <x:c r="D5" s="27" t="str">
        <x:v>内容・追加確認</x:v>
      </x:c>
    </x:row>
    <x:row r="6" ht="48" customHeight="1">
      <x:c r="A6" s="28" t="str">
        <x:v>在庫評価</x:v>
      </x:c>
      <x:c r="B6" s="28" t="str">
        <x:v>Standard cost／MAUC</x:v>
      </x:c>
      <x:c r="C6" s="28" t="str">
        <x:v>確認済</x:v>
      </x:c>
      <x:c r="D6" s="28" t="str">
        <x:v>標準評価と移動平均評価。</x:v>
      </x:c>
    </x:row>
    <x:row r="7" ht="48" customHeight="1">
      <x:c r="A7" s="29" t="str">
        <x:v>在庫評価</x:v>
      </x:c>
      <x:c r="B7" s="29" t="str">
        <x:v>FIFO／LIFO</x:v>
      </x:c>
      <x:c r="C7" s="29" t="str">
        <x:v>確認済</x:v>
      </x:c>
      <x:c r="D7" s="29" t="str">
        <x:v>受入原価の層を使った評価。</x:v>
      </x:c>
    </x:row>
    <x:row r="8" ht="48" customHeight="1">
      <x:c r="A8" s="28" t="str">
        <x:v>在庫評価</x:v>
      </x:c>
      <x:c r="B8" s="28" t="str">
        <x:v>Lot Price／Serial Price</x:v>
      </x:c>
      <x:c r="C8" s="28" t="str">
        <x:v>確認済</x:v>
      </x:c>
      <x:c r="D8" s="28" t="str">
        <x:v>ロット・シリアル別評価。個別法との要件一致を確認。</x:v>
      </x:c>
    </x:row>
    <x:row r="9" ht="48" customHeight="1">
      <x:c r="A9" s="29" t="str">
        <x:v>製品原価</x:v>
      </x:c>
      <x:c r="B9" s="29" t="str">
        <x:v>標準／実際原価</x:v>
      </x:c>
      <x:c r="C9" s="29" t="str">
        <x:v>確認済</x:v>
      </x:c>
      <x:c r="D9" s="29" t="str">
        <x:v>製造オーダーの標準・実際原価を計算。</x:v>
      </x:c>
    </x:row>
    <x:row r="10" ht="48" customHeight="1">
      <x:c r="A10" s="28" t="str">
        <x:v>集計単位</x:v>
      </x:c>
      <x:c r="B10" s="28" t="str">
        <x:v>製造オーダー・PCSプロジェクト</x:v>
      </x:c>
      <x:c r="C10" s="28" t="str">
        <x:v>相当機能あり</x:v>
      </x:c>
      <x:c r="D10" s="28" t="str">
        <x:v>個別原価管理に相当する。月次総合原価は別途確認。</x:v>
      </x:c>
    </x:row>
    <x:row r="11" ht="48" customHeight="1">
      <x:c r="A11" s="29" t="str">
        <x:v>差異分析</x:v>
      </x:c>
      <x:c r="B11" s="29" t="str">
        <x:v>価格・能率等の差異</x:v>
      </x:c>
      <x:c r="C11" s="29" t="str">
        <x:v>確認済</x:v>
      </x:c>
      <x:c r="D11" s="29" t="str">
        <x:v>製造結果の差異を把握。</x:v>
      </x:c>
    </x:row>
    <x:row r="12" ht="48" customHeight="1">
      <x:c r="A12" s="28" t="str">
        <x:v>計画</x:v>
      </x:c>
      <x:c r="B12" s="28" t="str">
        <x:v>見積・シミュレーション</x:v>
      </x:c>
      <x:c r="C12" s="28" t="str">
        <x:v>確認済</x:v>
      </x:c>
      <x:c r="D12" s="28" t="str">
        <x:v>原価計算コード等で条件を変えて試算。</x:v>
      </x:c>
    </x:row>
    <x:row r="13" ht="48" customHeight="1">
      <x:c r="A13" s="29" t="str">
        <x:v>配賦</x:v>
      </x:c>
      <x:c r="B13" s="29" t="str">
        <x:v>Surcharges（間接費付加）</x:v>
      </x:c>
      <x:c r="C13" s="29" t="str">
        <x:v>確認済</x:v>
      </x:c>
      <x:c r="D13" s="29" t="str">
        <x:v>率・金額による費用付加。部門間相互配賦とは別。</x:v>
      </x:c>
    </x:row>
    <x:row r="14" ht="48" customHeight="1">
      <x:c r="A14" s="28" t="str">
        <x:v>在庫評価</x:v>
      </x:c>
      <x:c r="B14" s="28" t="str">
        <x:v>総平均／最終仕入原価</x:v>
      </x:c>
      <x:c r="C14" s="28" t="str">
        <x:v>要確認</x:v>
      </x:c>
      <x:c r="D14" s="28" t="str">
        <x:v>公開される通常の評価方式一覧に明記を確認できない。</x:v>
      </x:c>
    </x:row>
    <x:row r="15">
      <x:c r="A15" s="30"/>
      <x:c r="B15" s="30"/>
      <x:c r="C15" s="30"/>
      <x:c r="D15" s="30"/>
    </x:row>
    <x:row r="16">
      <x:c r="A16" s="30"/>
      <x:c r="B16" s="30"/>
      <x:c r="C16" s="30"/>
      <x:c r="D16" s="30"/>
    </x:row>
    <x:row r="17">
      <x:c r="A17" s="31" t="str">
        <x:v>公式資料・対象バージョン</x:v>
      </x:c>
      <x:c r="B17" s="30"/>
      <x:c r="C17" s="30"/>
      <x:c r="D17" s="30"/>
    </x:row>
    <x:row r="18" ht="65" customHeight="1">
      <x:c r="A18" s="32" t="str">
        <x:v>L1</x:v>
      </x:c>
      <x:c r="B18" s="32" t="str">
        <x:v>LN Manufacturing Costing</x:v>
      </x:c>
      <x:c r="C18" s="32" t="str">
        <x:v>10.6／2024年刊</x:v>
      </x:c>
      <x:c r="D18" s="32" t="str">
        <x:v>https://docs.infor.com/ln/10.6/en-us/lnolh/docs/ln_10.6_ticstug__en-us.pdf</x:v>
      </x:c>
    </x:row>
    <x:row r="19" ht="65" customHeight="1">
      <x:c r="A19" s="32" t="str">
        <x:v>L2</x:v>
      </x:c>
      <x:c r="B19" s="32" t="str">
        <x:v>Inventory valuation</x:v>
      </x:c>
      <x:c r="C19" s="32" t="str">
        <x:v>LN 2025.x</x:v>
      </x:c>
      <x:c r="D19" s="32" t="str">
        <x:v>https://docs.infor.com/ln/2025.x/en-us/lnolh/wholh/whom000004.html</x:v>
      </x:c>
    </x:row>
    <x:row r="20" ht="65" customHeight="1">
      <x:c r="A20" s="32" t="str">
        <x:v>L3</x:v>
      </x:c>
      <x:c r="B20" s="32" t="str">
        <x:v>CloudSuite Automotive Library</x:v>
      </x:c>
      <x:c r="C20" s="32" t="str">
        <x:v>LN関連資料の掲載</x:v>
      </x:c>
      <x:c r="D20" s="32" t="str">
        <x:v>https://docs.infor.com/csauto/latest/en-us/csautolib/default.html?helpcontent=hht1667210848284.html</x:v>
      </x:c>
    </x:row>
  </x:sheetData>
  <x:pageMargins left="0.7" right="0.7" top="0.75" bottom="0.75" header="0.3" footer="0.3"/>
  <x:tableParts count="1">
    <x:tablePart xmlns:r="http://schemas.openxmlformats.org/officeDocument/2006/relationships" r:id="Re6ff03aa9eda4f8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2" hidden="0" customWidth="1"/>
    <x:col min="4" max="4" width="73" hidden="0" customWidth="1"/>
  </x:cols>
  <x:sheetData>
    <x:row r="1">
      <x:c r="A1" s="24"/>
      <x:c r="B1" s="24"/>
      <x:c r="C1" s="24"/>
      <x:c r="D1" s="24"/>
    </x:row>
    <x:row r="2">
      <x:c r="A2" s="25" t="str">
        <x:v>Infor CSI（SyteLine）で確認できる機能</x:v>
      </x:c>
      <x:c r="B2" s="24"/>
      <x:c r="C2" s="24"/>
      <x:c r="D2" s="24"/>
    </x:row>
    <x:row r="3">
      <x:c r="A3" s="26" t="str">
        <x:v>LNとは別製品です。取得できた公式9.x資料に基づく機能確認のため、導入版での仕様確認が必要です。</x:v>
      </x:c>
      <x:c r="B3" s="24"/>
      <x:c r="C3" s="24"/>
      <x:c r="D3" s="24"/>
    </x:row>
    <x:row r="4">
      <x:c r="A4" s="24"/>
      <x:c r="B4" s="24"/>
      <x:c r="C4" s="24"/>
      <x:c r="D4" s="24"/>
    </x:row>
    <x:row r="5" ht="30" customHeight="1">
      <x:c r="A5" s="27" t="str">
        <x:v>分類</x:v>
      </x:c>
      <x:c r="B5" s="27" t="str">
        <x:v>方法・機能</x:v>
      </x:c>
      <x:c r="C5" s="27" t="str">
        <x:v>確認結果</x:v>
      </x:c>
      <x:c r="D5" s="27" t="str">
        <x:v>内容・追加確認</x:v>
      </x:c>
    </x:row>
    <x:row r="6" ht="48" customHeight="1">
      <x:c r="A6" s="28" t="str">
        <x:v>原価設定</x:v>
      </x:c>
      <x:c r="B6" s="28" t="str">
        <x:v>Cost Type：Standard／Actual</x:v>
      </x:c>
      <x:c r="C6" s="28" t="str">
        <x:v>確認済</x:v>
      </x:c>
      <x:c r="D6" s="28" t="str">
        <x:v>原価タイプとCost Methodを区別して設定。</x:v>
      </x:c>
    </x:row>
    <x:row r="7" ht="48" customHeight="1">
      <x:c r="A7" s="29" t="str">
        <x:v>在庫評価</x:v>
      </x:c>
      <x:c r="B7" s="29" t="str">
        <x:v>FIFO／LIFO</x:v>
      </x:c>
      <x:c r="C7" s="29" t="str">
        <x:v>確認済</x:v>
      </x:c>
      <x:c r="D7" s="29" t="str">
        <x:v>受入原価の層を管理する。</x:v>
      </x:c>
    </x:row>
    <x:row r="8" ht="48" customHeight="1">
      <x:c r="A8" s="28" t="str">
        <x:v>在庫評価</x:v>
      </x:c>
      <x:c r="B8" s="28" t="str">
        <x:v>Average</x:v>
      </x:c>
      <x:c r="C8" s="28" t="str">
        <x:v>確認済</x:v>
      </x:c>
      <x:c r="D8" s="28" t="str">
        <x:v>対象入荷時に加重平均を更新。移動平均に相当。</x:v>
      </x:c>
    </x:row>
    <x:row r="9" ht="48" customHeight="1">
      <x:c r="A9" s="29" t="str">
        <x:v>在庫評価</x:v>
      </x:c>
      <x:c r="B9" s="29" t="str">
        <x:v>Specific</x:v>
      </x:c>
      <x:c r="C9" s="29" t="str">
        <x:v>確認済</x:v>
      </x:c>
      <x:c r="D9" s="29" t="str">
        <x:v>保管場所・ロット等の原価。個別法との要件一致を確認。</x:v>
      </x:c>
    </x:row>
    <x:row r="10" ht="48" customHeight="1">
      <x:c r="A10" s="28" t="str">
        <x:v>製品原価</x:v>
      </x:c>
      <x:c r="B10" s="28" t="str">
        <x:v>ジョブ原価管理</x:v>
      </x:c>
      <x:c r="C10" s="28" t="str">
        <x:v>相当機能あり</x:v>
      </x:c>
      <x:c r="D10" s="28" t="str">
        <x:v>ジョブ別の材料等を管理。個別原価要件への適合を確認。</x:v>
      </x:c>
    </x:row>
    <x:row r="11" ht="48" customHeight="1">
      <x:c r="A11" s="29" t="str">
        <x:v>分析</x:v>
      </x:c>
      <x:c r="B11" s="29" t="str">
        <x:v>標準原価・差異処理</x:v>
      </x:c>
      <x:c r="C11" s="29" t="str">
        <x:v>確認済</x:v>
      </x:c>
      <x:c r="D11" s="29" t="str">
        <x:v>標準と実績の差額を管理。</x:v>
      </x:c>
    </x:row>
    <x:row r="12" ht="48" customHeight="1">
      <x:c r="A12" s="28" t="str">
        <x:v>計画</x:v>
      </x:c>
      <x:c r="B12" s="28" t="str">
        <x:v>Costing Alternatives</x:v>
      </x:c>
      <x:c r="C12" s="28" t="str">
        <x:v>確認済</x:v>
      </x:c>
      <x:c r="D12" s="28" t="str">
        <x:v>代替条件で積上げ、原価比較。</x:v>
      </x:c>
    </x:row>
    <x:row r="13" ht="48" customHeight="1">
      <x:c r="A13" s="29" t="str">
        <x:v>生産方式</x:v>
      </x:c>
      <x:c r="B13" s="29" t="str">
        <x:v>反復生産の原価</x:v>
      </x:c>
      <x:c r="C13" s="29" t="str">
        <x:v>条件あり</x:v>
      </x:c>
      <x:c r="D13" s="29" t="str">
        <x:v>9.x資料はRepetitiveでStandardを必要と記載。導入版で再確認。</x:v>
      </x:c>
    </x:row>
    <x:row r="14" ht="48" customHeight="1">
      <x:c r="A14" s="28" t="str">
        <x:v>在庫評価</x:v>
      </x:c>
      <x:c r="B14" s="28" t="str">
        <x:v>総平均／最終仕入原価</x:v>
      </x:c>
      <x:c r="C14" s="28" t="str">
        <x:v>要確認</x:v>
      </x:c>
      <x:c r="D14" s="28" t="str">
        <x:v>Current CostのLast設定は在庫評価の最終仕入原価法とは別。</x:v>
      </x:c>
    </x:row>
    <x:row r="15">
      <x:c r="A15" s="30"/>
      <x:c r="B15" s="30"/>
      <x:c r="C15" s="30"/>
      <x:c r="D15" s="30"/>
    </x:row>
    <x:row r="16">
      <x:c r="A16" s="30"/>
      <x:c r="B16" s="30"/>
      <x:c r="C16" s="30"/>
      <x:c r="D16" s="30"/>
    </x:row>
    <x:row r="17">
      <x:c r="A17" s="31" t="str">
        <x:v>公式資料・対象バージョン</x:v>
      </x:c>
      <x:c r="B17" s="30"/>
      <x:c r="C17" s="30"/>
      <x:c r="D17" s="30"/>
    </x:row>
    <x:row r="18" ht="65" customHeight="1">
      <x:c r="A18" s="32" t="str">
        <x:v>C1</x:v>
      </x:c>
      <x:c r="B18" s="32" t="str">
        <x:v>Inventory Control User Guide</x:v>
      </x:c>
      <x:c r="C18" s="32" t="str">
        <x:v>CSI 9.00.x／原価章</x:v>
      </x:c>
      <x:c r="D18" s="32" t="str">
        <x:v>https://docs.infor.com/csi/9.00.x/en-us/useradminlist/csi_Inventory_Control_User_Guide_42983.pdf</x:v>
      </x:c>
    </x:row>
    <x:row r="19" ht="65" customHeight="1">
      <x:c r="A19" s="32" t="str">
        <x:v>C2</x:v>
      </x:c>
      <x:c r="B19" s="32" t="str">
        <x:v>Average Costing Method</x:v>
      </x:c>
      <x:c r="C19" s="32" t="str">
        <x:v>CSI 9.01.x</x:v>
      </x:c>
      <x:c r="D19" s="32" t="str">
        <x:v>https://docs.infor.com/csi/9.01.x/en-us/csbiolh/lsm1454144396165.html</x:v>
      </x:c>
    </x:row>
    <x:row r="20" ht="65" customHeight="1">
      <x:c r="A20" s="32" t="str">
        <x:v>C3</x:v>
      </x:c>
      <x:c r="B20" s="32" t="str">
        <x:v>Specific Costing Setup</x:v>
      </x:c>
      <x:c r="C20" s="32" t="str">
        <x:v>CSI 9.01.x</x:v>
      </x:c>
      <x:c r="D20" s="32" t="str">
        <x:v>https://docs.infor.com/csi/9.01.x/en-us/csbiolh/lsm1454144395712.html</x:v>
      </x:c>
    </x:row>
  </x:sheetData>
  <x:pageMargins left="0.7" right="0.7" top="0.75" bottom="0.75" header="0.3" footer="0.3"/>
  <x:tableParts count="1">
    <x:tablePart xmlns:r="http://schemas.openxmlformats.org/officeDocument/2006/relationships" r:id="Re0ef8c04afa144f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26" hidden="0" customWidth="1"/>
    <x:col min="3" max="3" width="26" hidden="0" customWidth="1"/>
    <x:col min="4" max="4" width="70" hidden="0" customWidth="1"/>
    <x:col min="5" max="5" width="40" hidden="0" customWidth="1"/>
  </x:cols>
  <x:sheetData>
    <x:row r="1">
      <x:c r="A1" s="24"/>
      <x:c r="B1" s="24"/>
      <x:c r="C1" s="24"/>
      <x:c r="D1" s="24"/>
      <x:c r="E1" s="24"/>
    </x:row>
    <x:row r="2">
      <x:c r="A2" s="25" t="str">
        <x:v>在庫評価と製品原価の計算例</x:v>
      </x:c>
      <x:c r="B2" s="24"/>
      <x:c r="C2" s="24"/>
      <x:c r="D2" s="24"/>
      <x:c r="E2" s="24"/>
    </x:row>
    <x:row r="3">
      <x:c r="A3" s="26" t="str">
        <x:v>黄色の数値が入力です。入荷1 → 払出1 → 入荷2 → 払出2の順。FIFO例は払出合計が入荷1以下の場合です。</x:v>
      </x:c>
      <x:c r="B3" s="24"/>
      <x:c r="C3" s="24"/>
      <x:c r="D3" s="24"/>
      <x:c r="E3" s="24"/>
    </x:row>
    <x:row r="4">
      <x:c r="A4" s="24"/>
      <x:c r="B4" s="24"/>
      <x:c r="C4" s="24"/>
      <x:c r="D4" s="24"/>
      <x:c r="E4" s="24"/>
    </x:row>
    <x:row r="5" ht="30" customHeight="1">
      <x:c r="A5" s="27" t="str">
        <x:v>取引・設定</x:v>
      </x:c>
      <x:c r="B5" s="27" t="str">
        <x:v>数量（個）</x:v>
      </x:c>
      <x:c r="C5" s="27" t="str">
        <x:v>単価（円/個）</x:v>
      </x:c>
      <x:c r="D5" s="27" t="str">
        <x:v>金額（円）</x:v>
      </x:c>
      <x:c r="E5" s="27" t="str">
        <x:v>説明</x:v>
      </x:c>
    </x:row>
    <x:row r="6" ht="40" customHeight="1">
      <x:c r="A6" s="28" t="str">
        <x:v>入荷1</x:v>
      </x:c>
      <x:c r="B6" s="33" t="n">
        <x:v>100</x:v>
      </x:c>
      <x:c r="C6" s="34" t="n">
        <x:v>100</x:v>
      </x:c>
      <x:c r="D6" s="35" t="n">
        <x:f>B6*C6</x:f>
        <x:v>10000</x:v>
      </x:c>
      <x:c r="E6" s="28" t="str">
        <x:v>最初に100個を入荷。</x:v>
      </x:c>
    </x:row>
    <x:row r="7" ht="40" customHeight="1">
      <x:c r="A7" s="29" t="str">
        <x:v>払出1</x:v>
      </x:c>
      <x:c r="B7" s="33" t="n">
        <x:v>50</x:v>
      </x:c>
      <x:c r="C7" s="34"/>
      <x:c r="D7" s="36"/>
      <x:c r="E7" s="29" t="str">
        <x:v>入荷2より前に50個を使用。</x:v>
      </x:c>
    </x:row>
    <x:row r="8" ht="40" customHeight="1">
      <x:c r="A8" s="28" t="str">
        <x:v>入荷2</x:v>
      </x:c>
      <x:c r="B8" s="33" t="n">
        <x:v>100</x:v>
      </x:c>
      <x:c r="C8" s="34" t="n">
        <x:v>120</x:v>
      </x:c>
      <x:c r="D8" s="35" t="n">
        <x:f>B8*C8</x:f>
        <x:v>12000</x:v>
      </x:c>
      <x:c r="E8" s="28" t="str">
        <x:v>残った在庫に新しい入荷を加える。</x:v>
      </x:c>
    </x:row>
    <x:row r="9" ht="40" customHeight="1">
      <x:c r="A9" s="29" t="str">
        <x:v>払出2</x:v>
      </x:c>
      <x:c r="B9" s="33" t="n">
        <x:v>50</x:v>
      </x:c>
      <x:c r="C9" s="34"/>
      <x:c r="D9" s="36"/>
      <x:c r="E9" s="29" t="str">
        <x:v>さらに50個を使用。</x:v>
      </x:c>
    </x:row>
    <x:row r="10" ht="40" customHeight="1">
      <x:c r="A10" s="28" t="str">
        <x:v>標準単価</x:v>
      </x:c>
      <x:c r="B10" s="34"/>
      <x:c r="C10" s="34" t="n">
        <x:v>105</x:v>
      </x:c>
      <x:c r="D10" s="35"/>
      <x:c r="E10" s="28" t="str">
        <x:v>標準評価用。</x:v>
      </x:c>
    </x:row>
    <x:row r="11" ht="35" customHeight="1">
      <x:c r="A11" s="37" t="str">
        <x:v>評価方法</x:v>
      </x:c>
      <x:c r="B11" s="38" t="str">
        <x:v>払出原価合計（円）</x:v>
      </x:c>
      <x:c r="C11" s="38" t="str">
        <x:v>期末在庫額（円）</x:v>
      </x:c>
      <x:c r="D11" s="38" t="str">
        <x:v>計算説明</x:v>
      </x:c>
      <x:c r="E11" s="37"/>
    </x:row>
    <x:row r="12" ht="40" customHeight="1">
      <x:c r="A12" s="28" t="str">
        <x:v>FIFO</x:v>
      </x:c>
      <x:c r="B12" s="35" t="n">
        <x:f>SUM(B7,B9)*C6</x:f>
        <x:v>10000</x:v>
      </x:c>
      <x:c r="C12" s="35" t="n">
        <x:f>SUM(D6,D8)-B12</x:f>
        <x:v>12000</x:v>
      </x:c>
      <x:c r="D12" s="35" t="str">
        <x:v>古い入荷原価から消費。</x:v>
      </x:c>
      <x:c r="E12" s="28"/>
    </x:row>
    <x:row r="13" ht="40" customHeight="1">
      <x:c r="A13" s="29" t="str">
        <x:v>移動平均</x:v>
      </x:c>
      <x:c r="B13" s="36" t="n">
        <x:f>B7*C6+B9*((B6-B7)*C6+D8)/(B6-B7+B8)</x:f>
        <x:v>10666.666666666668</x:v>
      </x:c>
      <x:c r="C13" s="36" t="n">
        <x:f>SUM(D6,D8)-B13</x:f>
        <x:v>11333.333333333332</x:v>
      </x:c>
      <x:c r="D13" s="36" t="str">
        <x:v>入荷2時点で残在庫と入荷2の平均単価を計算。</x:v>
      </x:c>
      <x:c r="E13" s="29"/>
    </x:row>
    <x:row r="14" ht="40" customHeight="1">
      <x:c r="A14" s="28" t="str">
        <x:v>総平均</x:v>
      </x:c>
      <x:c r="B14" s="35" t="n">
        <x:f>SUM(B7,B9)*SUM(D6,D8)/SUM(B6,B8)</x:f>
        <x:v>11000</x:v>
      </x:c>
      <x:c r="C14" s="35" t="n">
        <x:f>SUM(D6,D8)-B14</x:f>
        <x:v>11000</x:v>
      </x:c>
      <x:c r="D14" s="35" t="str">
        <x:v>期間内の全受入金額÷全受入数量。</x:v>
      </x:c>
      <x:c r="E14" s="28"/>
    </x:row>
    <x:row r="15" ht="40" customHeight="1">
      <x:c r="A15" s="29" t="str">
        <x:v>最終仕入原価</x:v>
      </x:c>
      <x:c r="B15" s="36" t="n">
        <x:f>SUM(D6,D8)-C15</x:f>
        <x:v>10000</x:v>
      </x:c>
      <x:c r="C15" s="36" t="n">
        <x:f>(SUM(B6,B8)-SUM(B7,B9))*C8</x:f>
        <x:v>12000</x:v>
      </x:c>
      <x:c r="D15" s="36" t="str">
        <x:v>期末在庫を最終単価で評価。払出額は差引計算。</x:v>
      </x:c>
      <x:c r="E15" s="29"/>
    </x:row>
    <x:row r="16" ht="40" customHeight="1">
      <x:c r="A16" s="28" t="str">
        <x:v>標準評価</x:v>
      </x:c>
      <x:c r="B16" s="35" t="n">
        <x:f>SUM(B7,B9)*C10</x:f>
        <x:v>10500</x:v>
      </x:c>
      <x:c r="C16" s="35" t="n">
        <x:f>(SUM(B6,B8)-SUM(B7,B9))*C10</x:f>
        <x:v>10500</x:v>
      </x:c>
      <x:c r="D16" s="35" t="str">
        <x:v>全払出・残在庫を標準単価で評価。</x:v>
      </x:c>
      <x:c r="E16" s="28"/>
    </x:row>
    <x:row r="17" ht="35" customHeight="1">
      <x:c r="A17" s="37" t="str">
        <x:v>製品原価の設定</x:v>
      </x:c>
      <x:c r="B17" s="38" t="str">
        <x:v>金額・数量</x:v>
      </x:c>
      <x:c r="C17" s="38" t="str">
        <x:v>単位</x:v>
      </x:c>
      <x:c r="D17" s="38" t="str">
        <x:v>説明</x:v>
      </x:c>
      <x:c r="E17" s="37"/>
    </x:row>
    <x:row r="18" ht="40" customHeight="1">
      <x:c r="A18" s="28" t="str">
        <x:v>材料費</x:v>
      </x:c>
      <x:c r="B18" s="34" t="n">
        <x:v>1000000</x:v>
      </x:c>
      <x:c r="C18" s="35" t="str">
        <x:v>円</x:v>
      </x:c>
      <x:c r="D18" s="35" t="str">
        <x:v>実際材料費</x:v>
      </x:c>
      <x:c r="E18" s="28"/>
    </x:row>
    <x:row r="19" ht="40" customHeight="1">
      <x:c r="A19" s="29" t="str">
        <x:v>直接労務費</x:v>
      </x:c>
      <x:c r="B19" s="34" t="n">
        <x:v>500000</x:v>
      </x:c>
      <x:c r="C19" s="36" t="str">
        <x:v>円</x:v>
      </x:c>
      <x:c r="D19" s="36" t="str">
        <x:v>実際直接労務費</x:v>
      </x:c>
      <x:c r="E19" s="29"/>
    </x:row>
    <x:row r="20" ht="40" customHeight="1">
      <x:c r="A20" s="28" t="str">
        <x:v>製造間接費</x:v>
      </x:c>
      <x:c r="B20" s="34" t="n">
        <x:v>300000</x:v>
      </x:c>
      <x:c r="C20" s="35" t="str">
        <x:v>円</x:v>
      </x:c>
      <x:c r="D20" s="35" t="str">
        <x:v>製造固定費と仮定</x:v>
      </x:c>
      <x:c r="E20" s="28"/>
    </x:row>
    <x:row r="21" ht="40" customHeight="1">
      <x:c r="A21" s="29" t="str">
        <x:v>完成数量</x:v>
      </x:c>
      <x:c r="B21" s="33" t="n">
        <x:v>100</x:v>
      </x:c>
      <x:c r="C21" s="36" t="str">
        <x:v>個</x:v>
      </x:c>
      <x:c r="D21" s="36" t="str">
        <x:v>仕掛・減損はない単純例</x:v>
      </x:c>
      <x:c r="E21" s="29"/>
    </x:row>
    <x:row r="22" ht="40" customHeight="1">
      <x:c r="A22" s="28" t="str">
        <x:v>全部製造原価</x:v>
      </x:c>
      <x:c r="B22" s="35" t="n">
        <x:f>SUM(B18:B20)</x:f>
        <x:v>1800000</x:v>
      </x:c>
      <x:c r="C22" s="35" t="str">
        <x:v>円</x:v>
      </x:c>
      <x:c r="D22" s="35" t="str">
        <x:v>材料＋労務＋間接費</x:v>
      </x:c>
      <x:c r="E22" s="28"/>
    </x:row>
    <x:row r="23" ht="40" customHeight="1">
      <x:c r="A23" s="29" t="str">
        <x:v>全部原価単価</x:v>
      </x:c>
      <x:c r="B23" s="36" t="n">
        <x:f>B22/B21</x:f>
        <x:v>18000</x:v>
      </x:c>
      <x:c r="C23" s="36" t="str">
        <x:v>円/個</x:v>
      </x:c>
      <x:c r="D23" s="36" t="str">
        <x:v>全部製造原価÷完成数量</x:v>
      </x:c>
      <x:c r="E23" s="29"/>
    </x:row>
    <x:row r="24" ht="40" customHeight="1">
      <x:c r="A24" s="28" t="str">
        <x:v>変動原価合計</x:v>
      </x:c>
      <x:c r="B24" s="35" t="n">
        <x:f>SUM(B18:B19)</x:f>
        <x:v>1500000</x:v>
      </x:c>
      <x:c r="C24" s="35" t="str">
        <x:v>円</x:v>
      </x:c>
      <x:c r="D24" s="35" t="str">
        <x:v>材料費・直接労務費を変動費と仮定</x:v>
      </x:c>
      <x:c r="E24" s="28"/>
    </x:row>
    <x:row r="25" ht="40" customHeight="1">
      <x:c r="A25" s="29" t="str">
        <x:v>変動原価単価</x:v>
      </x:c>
      <x:c r="B25" s="36" t="n">
        <x:f>B24/B21</x:f>
        <x:v>15000</x:v>
      </x:c>
      <x:c r="C25" s="36" t="str">
        <x:v>円/個</x:v>
      </x:c>
      <x:c r="D25" s="36" t="str">
        <x:v>変動原価合計÷完成数量</x:v>
      </x:c>
      <x:c r="E25" s="29"/>
    </x:row>
    <x:row r="26" ht="40" customHeight="1">
      <x:c r="A26" s="28" t="str">
        <x:v>標準製品単価</x:v>
      </x:c>
      <x:c r="B26" s="34" t="n">
        <x:v>17000</x:v>
      </x:c>
      <x:c r="C26" s="35" t="str">
        <x:v>円/個</x:v>
      </x:c>
      <x:c r="D26" s="35" t="str">
        <x:v>事前に設定した単価</x:v>
      </x:c>
      <x:c r="E26" s="28"/>
    </x:row>
    <x:row r="27" ht="40" customHeight="1">
      <x:c r="A27" s="29" t="str">
        <x:v>原価差異</x:v>
      </x:c>
      <x:c r="B27" s="36" t="n">
        <x:f>B22-B26*B21</x:f>
        <x:v>100000</x:v>
      </x:c>
      <x:c r="C27" s="36" t="str">
        <x:v>円</x:v>
      </x:c>
      <x:c r="D27" s="36" t="str">
        <x:v>実際全部製造原価－標準原価。正は不利差異。</x:v>
      </x:c>
      <x:c r="E27" s="29"/>
    </x:row>
    <x:row r="28">
      <x:c r="A28" s="30"/>
      <x:c r="B28" s="30"/>
      <x:c r="C28" s="30"/>
      <x:c r="D28" s="30"/>
      <x:c r="E28" s="30"/>
    </x:row>
    <x:row r="29">
      <x:c r="A29" s="30" t="str">
        <x:v>取得原価と標準評価の差</x:v>
      </x:c>
      <x:c r="B29" s="39" t="n">
        <x:f>SUM(D6,D8)-SUM(B16,C16)</x:f>
        <x:v>1000</x:v>
      </x:c>
      <x:c r="C29" s="30" t="str">
        <x:v>円</x:v>
      </x:c>
      <x:c r="D29" s="30" t="str">
        <x:v>標準評価では差異の処理が別途必要。</x:v>
      </x:c>
      <x:c r="E29" s="30"/>
    </x:row>
  </x:sheetData>
  <x:pageMargins left="0.7" right="0.7" top="0.75" bottom="0.75" header="0.3" footer="0.3"/>
</x:worksheet>
</file>