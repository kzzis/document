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e81b27b56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体整理" sheetId="1" r:id="R07ef09636bfb4c67"/>
    <x:sheet xmlns:r="http://schemas.openxmlformats.org/officeDocument/2006/relationships" name="①原価の種類" sheetId="2" r:id="Ra21d1464d7c34f1c"/>
    <x:sheet xmlns:r="http://schemas.openxmlformats.org/officeDocument/2006/relationships" name="原価区分の一覧" sheetId="3" r:id="Rc752a5463fc54b2b"/>
    <x:sheet xmlns:r="http://schemas.openxmlformats.org/officeDocument/2006/relationships" name="②在庫評価方法" sheetId="4" r:id="Rd69ab9cc3f6f48c7"/>
    <x:sheet xmlns:r="http://schemas.openxmlformats.org/officeDocument/2006/relationships" name="③製品原価の方法" sheetId="5" r:id="R2afb3dec04604aa6"/>
    <x:sheet xmlns:r="http://schemas.openxmlformats.org/officeDocument/2006/relationships" name="在庫計算例" sheetId="6" r:id="R751fd80987ee479a"/>
    <x:sheet xmlns:r="http://schemas.openxmlformats.org/officeDocument/2006/relationships" name="製品計算例" sheetId="7" r:id="Raa2a8eac968e46dd"/>
    <x:sheet xmlns:r="http://schemas.openxmlformats.org/officeDocument/2006/relationships" name="ERP確認事項" sheetId="8" r:id="R3c4f6e80f15e4e43"/>
    <x:sheet xmlns:r="http://schemas.openxmlformats.org/officeDocument/2006/relationships" name="出典と用語" sheetId="9" r:id="Re91411933411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;[Red](#,##0.00);0.00"/>
  </x:numFmts>
  <x:fonts count="10">
    <x:font>
      <x:sz val="11"/>
      <x:name val="Carlito"/>
    </x:font>
    <x:font>
      <x:sz val="11"/>
      <x:name val="Noto Sans JP"/>
    </x:font>
    <x:font>
      <x:sz val="11"/>
      <x:color rgb="FF202D3D"/>
      <x:name val="Noto Sans JP"/>
    </x:font>
    <x:font>
      <x:sz val="16"/>
      <x:color rgb="FF202D3D"/>
      <x:name val="Noto Sans JP"/>
    </x:font>
    <x:font>
      <x:b/>
      <x:sz val="16"/>
      <x:color rgb="FF202D3D"/>
      <x:name val="Noto Sans JP"/>
    </x:font>
    <x:font>
      <x:sz val="10"/>
      <x:color rgb="FF202D3D"/>
      <x:name val="Noto Sans JP"/>
    </x:font>
    <x:font>
      <x:sz val="10"/>
      <x:color rgb="FF5A687A"/>
      <x:name val="Noto Sans JP"/>
    </x:font>
    <x:font>
      <x:sz val="11"/>
      <x:color rgb="FFFFFFFF"/>
      <x:name val="Noto Sans JP"/>
    </x:font>
    <x:font>
      <x:b/>
      <x:sz val="11"/>
      <x:color rgb="FFFFFFFF"/>
      <x:name val="Noto Sans JP"/>
    </x:font>
    <x:font>
      <x:sz val="11"/>
      <x:color rgb="FF174EA6"/>
      <x:name val="Noto Sans JP"/>
    </x:font>
  </x:fonts>
  <x:fills count="5">
    <x:fill>
      <x:patternFill patternType="none"/>
    </x:fill>
    <x:fill>
      <x:patternFill patternType="gray125"/>
    </x:fill>
    <x:fill>
      <x:patternFill patternType="solid">
        <x:fgColor rgb="FF233752"/>
      </x:patternFill>
    </x:fill>
    <x:fill>
      <x:patternFill patternType="solid">
        <x:fgColor rgb="FFEDF3F9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1" fontId="9" fillId="4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1" fontId="7" fillId="2" borderId="0" xfId="0" applyNumberFormat="1" applyFont="1" applyFill="1" applyBorder="1" applyAlignment="1">
      <x:alignment vertical="center" wrapText="1"/>
    </x:xf>
    <x:xf numFmtId="201" fontId="8" fillId="2" borderId="0" xfId="0" applyNumberFormat="1" applyFont="1" applyFill="1" applyBorder="1" applyAlignment="1">
      <x:alignment vertical="center" wrapText="1"/>
    </x:xf>
    <x:xf numFmtId="201" fontId="9" fillId="2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4E4"/>
        </x:patternFill>
      </x:fill>
    </x:dxf>
    <x:dxf>
      <x:font>
        <x:b/>
        <x:color rgb="FFB42318"/>
      </x:font>
      <x:fill>
        <x:patternFill patternType="solid">
          <x:bgColor rgb="FFFDE4E4"/>
        </x:patternFill>
      </x:fill>
    </x:dxf>
    <x:dxf>
      <x:font>
        <x:b/>
        <x:color rgb="FFB42318"/>
      </x:font>
      <x:fill>
        <x:patternFill patternType="solid">
          <x:bgColor rgb="FFFD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0697419b14d14" /><Relationship Type="http://schemas.openxmlformats.org/officeDocument/2006/relationships/theme" Target="/xl/theme/theme1.xml" Id="R146f5afc93844e72" /><Relationship Type="http://schemas.openxmlformats.org/officeDocument/2006/relationships/sharedStrings" Target="/xl/sharedStrings.xml" Id="Raf798da489474cdc" /><Relationship Type="http://schemas.openxmlformats.org/officeDocument/2006/relationships/worksheet" Target="/xl/worksheets/sheet1.xml" Id="R07ef09636bfb4c67" /><Relationship Type="http://schemas.openxmlformats.org/officeDocument/2006/relationships/worksheet" Target="/xl/worksheets/sheet2.xml" Id="Ra21d1464d7c34f1c" /><Relationship Type="http://schemas.openxmlformats.org/officeDocument/2006/relationships/worksheet" Target="/xl/worksheets/sheet3.xml" Id="Rc752a5463fc54b2b" /><Relationship Type="http://schemas.openxmlformats.org/officeDocument/2006/relationships/worksheet" Target="/xl/worksheets/sheet4.xml" Id="Rd69ab9cc3f6f48c7" /><Relationship Type="http://schemas.openxmlformats.org/officeDocument/2006/relationships/worksheet" Target="/xl/worksheets/sheet5.xml" Id="R2afb3dec04604aa6" /><Relationship Type="http://schemas.openxmlformats.org/officeDocument/2006/relationships/worksheet" Target="/xl/worksheets/sheet6.xml" Id="R751fd80987ee479a" /><Relationship Type="http://schemas.openxmlformats.org/officeDocument/2006/relationships/worksheet" Target="/xl/worksheets/sheet7.xml" Id="Raa2a8eac968e46dd" /><Relationship Type="http://schemas.openxmlformats.org/officeDocument/2006/relationships/worksheet" Target="/xl/worksheets/sheet8.xml" Id="R3c4f6e80f15e4e43" /><Relationship Type="http://schemas.openxmlformats.org/officeDocument/2006/relationships/worksheet" Target="/xl/worksheets/sheet9.xml" Id="Re914119334114c79" /></Relationships>
</file>

<file path=xl/tables/table1.xml><?xml version="1.0" encoding="utf-8"?>
<x:table xmlns:x="http://schemas.openxmlformats.org/spreadsheetml/2006/main" id="1" name="CostTopics0" displayName="CostTopics0" ref="A6:F16" headerRowCount="1" totalsRowCount="0" totalsRowShown="0">
  <x:tableColumns count="6">
    <x:tableColumn id="1" name="切り口"/>
    <x:tableColumn id="2" name="問い"/>
    <x:tableColumn id="3" name="種類・選択肢"/>
    <x:tableColumn id="4" name="具体例"/>
    <x:tableColumn id="5" name="整理のポイント"/>
    <x:tableColumn id="6" name="出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Topics1" displayName="CostTopics1" ref="A6:F18" headerRowCount="1" totalsRowCount="0" totalsRowShown="0">
  <x:tableColumns count="6">
    <x:tableColumn id="1" name="分類"/>
    <x:tableColumn id="2" name="名称"/>
    <x:tableColumn id="3" name="意味と算定方法"/>
    <x:tableColumn id="4" name="用途・向く場面"/>
    <x:tableColumn id="5" name="例・注意点"/>
    <x:tableColumn id="6" name="出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Topics2" displayName="CostTopics2" ref="A6:F39" headerRowCount="1" totalsRowCount="0" totalsRowShown="0">
  <x:tableColumns count="6">
    <x:tableColumn id="1" name="分類軸"/>
    <x:tableColumn id="2" name="区分"/>
    <x:tableColumn id="3" name="定義"/>
    <x:tableColumn id="4" name="具体例・計算"/>
    <x:tableColumn id="5" name="管理上の使い方・注意"/>
    <x:tableColumn id="6" name="出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stTopics3" displayName="CostTopics3" ref="A6:F20" headerRowCount="1" totalsRowCount="0" totalsRowShown="0">
  <x:tableColumns count="6">
    <x:tableColumn id="1" name="位置づけ"/>
    <x:tableColumn id="2" name="方法"/>
    <x:tableColumn id="3" name="しくみ・式"/>
    <x:tableColumn id="4" name="向く場面・利点"/>
    <x:tableColumn id="5" name="注意点・制度上の扱い"/>
    <x:tableColumn id="6" name="出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stTopics4" displayName="CostTopics4" ref="A6:F41" headerRowCount="1" totalsRowCount="0" totalsRowShown="0">
  <x:tableColumns count="6">
    <x:tableColumn id="1" name="分類軸"/>
    <x:tableColumn id="2" name="方法・種類"/>
    <x:tableColumn id="3" name="集計・計算のしくみ"/>
    <x:tableColumn id="4" name="用途・例"/>
    <x:tableColumn id="5" name="違い・留意点"/>
    <x:tableColumn id="6" name="出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stTopics7" displayName="CostTopics7" ref="A6:F18" headerRowCount="1" totalsRowCount="0" totalsRowShown="0">
  <x:tableColumns count="6">
    <x:tableColumn id="1" name="領域"/>
    <x:tableColumn id="2" name="確認すること"/>
    <x:tableColumn id="3" name="質問・要求例"/>
    <x:tableColumn id="4" name="必要なデータ"/>
    <x:tableColumn id="5" name="決めない場合の影響"/>
    <x:tableColumn id="6" name="区分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stTopics8" displayName="CostTopics8" ref="A6:F19" headerRowCount="1" totalsRowCount="0" totalsRowShown="0">
  <x:tableColumns count="6">
    <x:tableColumn id="1" name="ID"/>
    <x:tableColumn id="2" name="資料"/>
    <x:tableColumn id="3" name="参照箇所・掲載範囲"/>
    <x:tableColumn id="4" name="URL"/>
    <x:tableColumn id="5" name="補足"/>
    <x:tableColumn id="6" name="確認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a4b662078b48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48ad4fc4d944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e61baa374f40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285923fa9a4a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df20c99e0e4e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c690c66a3ba43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da741d7be63449f" /></Relationships>
</file>

<file path=xl/worksheets/sheet1.xml><?xml version="1.0" encoding="utf-8"?>
<x:worksheet xmlns:x="http://schemas.openxmlformats.org/spreadsheetml/2006/main">
  <x:sheetPr>
    <x:tabColor rgb="FF3C608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50" hidden="0" customWidth="1"/>
    <x:col min="4" max="4" width="46" hidden="0" customWidth="1"/>
    <x:col min="5" max="5" width="50" hidden="0" customWidth="1"/>
    <x:col min="6" max="6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原価の種類・在庫評価・原価計算の全体像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6" t="str">
        <x:v>日本の製造業を中心に整理。制度上の分類と管理会計の主要な派生方法を掲載。確認日：2026-10-03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10" t="str">
        <x:v>切り口</x:v>
      </x:c>
      <x:c r="B6" s="10" t="str">
        <x:v>問い</x:v>
      </x:c>
      <x:c r="C6" s="10" t="str">
        <x:v>種類・選択肢</x:v>
      </x:c>
      <x:c r="D6" s="10" t="str">
        <x:v>具体例</x:v>
      </x:c>
      <x:c r="E6" s="10" t="str">
        <x:v>整理のポイント</x:v>
      </x:c>
      <x:c r="F6" s="10" t="str">
        <x:v>出典</x:v>
      </x:c>
      <x:c r="G6" s="2"/>
      <x:c r="H6" s="2"/>
    </x:row>
    <x:row r="7" ht="64" customHeight="1">
      <x:c r="A7" s="13" t="str">
        <x:v>① 算定基準・目的</x:v>
      </x:c>
      <x:c r="B7" s="13" t="str">
        <x:v>どんな基準の原価か</x:v>
      </x:c>
      <x:c r="C7" s="13" t="str">
        <x:v>実際、標準、予定、見積。標準には現実的、正常、理想、基準標準などがある。</x:v>
      </x:c>
      <x:c r="D7" s="13" t="str">
        <x:v>標準1,700円／個と実際2,102円／個を比較する。</x:v>
      </x:c>
      <x:c r="E7" s="13" t="str">
        <x:v>予定と見積は実務では重なりがある。原価計算基準では実際／標準を基本とする。</x:v>
      </x:c>
      <x:c r="F7" s="13" t="str">
        <x:v>S1</x:v>
      </x:c>
      <x:c r="G7" s="2"/>
      <x:c r="H7" s="2"/>
    </x:row>
    <x:row r="8" ht="64" customHeight="1">
      <x:c r="A8" s="12" t="str">
        <x:v>② 在庫の原価配分</x:v>
      </x:c>
      <x:c r="B8" s="12" t="str">
        <x:v>在庫と払出しをいくらにするか</x:v>
      </x:c>
      <x:c r="C8" s="12" t="str">
        <x:v>個別、FIFO、総平均、移動平均、売価還元。税務では最終仕入原価もある。</x:v>
      </x:c>
      <x:c r="D8" s="12" t="str">
        <x:v>同じ入出庫でも在庫評価額・払出原価が変わる。</x:v>
      </x:c>
      <x:c r="E8" s="12" t="str">
        <x:v>物流の先入先出と会計上のFIFOは別々に設定できる。</x:v>
      </x:c>
      <x:c r="F8" s="12" t="str">
        <x:v>S2・S3</x:v>
      </x:c>
      <x:c r="G8" s="2"/>
      <x:c r="H8" s="2"/>
    </x:row>
    <x:row r="9" ht="64" customHeight="1">
      <x:c r="A9" s="13" t="str">
        <x:v>③-A 製品別の集計</x:v>
      </x:c>
      <x:c r="B9" s="13" t="str">
        <x:v>何を単位に集計するか</x:v>
      </x:c>
      <x:c r="C9" s="13" t="str">
        <x:v>個別原価計算、総合原価計算。総合には単純、等級別、組別など。</x:v>
      </x:c>
      <x:c r="D9" s="13" t="str">
        <x:v>受注別に集計するか、同種品を期間・工程でまとめるか。</x:v>
      </x:c>
      <x:c r="E9" s="13" t="str">
        <x:v>標準原価計算は、この集計単位とは別の軸。</x:v>
      </x:c>
      <x:c r="F9" s="13" t="str">
        <x:v>S1</x:v>
      </x:c>
      <x:c r="G9" s="2"/>
      <x:c r="H9" s="2"/>
    </x:row>
    <x:row r="10" ht="64" customHeight="1">
      <x:c r="A10" s="12" t="str">
        <x:v>③-B 算定の基準</x:v>
      </x:c>
      <x:c r="B10" s="12" t="str">
        <x:v>数量・単価を何で計算するか</x:v>
      </x:c>
      <x:c r="C10" s="12" t="str">
        <x:v>実際原価計算、標準原価計算、予定単価・予定配賦を使う計算。</x:v>
      </x:c>
      <x:c r="D10" s="12" t="str">
        <x:v>総合原価計算＋標準原価計算という組合せができる。</x:v>
      </x:c>
      <x:c r="E10" s="12" t="str">
        <x:v>標準の使用量を、実際生産数量に対応させて差異比較する。</x:v>
      </x:c>
      <x:c r="F10" s="12" t="str">
        <x:v>S1</x:v>
      </x:c>
      <x:c r="G10" s="2"/>
      <x:c r="H10" s="2"/>
    </x:row>
    <x:row r="11" ht="64" customHeight="1">
      <x:c r="A11" s="13" t="str">
        <x:v>③-C 算入する範囲</x:v>
      </x:c>
      <x:c r="B11" s="13" t="str">
        <x:v>どの製造費用を含めるか</x:v>
      </x:c>
      <x:c r="C11" s="13" t="str">
        <x:v>全部原価計算、部分原価計算。部分の代表が直接原価計算。</x:v>
      </x:c>
      <x:c r="D11" s="13" t="str">
        <x:v>全部は固定製造費を在庫に含め、直接は当期費用とする。</x:v>
      </x:c>
      <x:c r="E11" s="13" t="str">
        <x:v>直接原価計算の「直接」は変動原価の意味。直接費だけではない。</x:v>
      </x:c>
      <x:c r="F11" s="13" t="str">
        <x:v>S1・編集</x:v>
      </x:c>
      <x:c r="G11" s="2"/>
      <x:c r="H11" s="2"/>
    </x:row>
    <x:row r="12" ht="64" customHeight="1">
      <x:c r="A12" s="12" t="str">
        <x:v>③-D 間接費・工程</x:v>
      </x:c>
      <x:c r="B12" s="12" t="str">
        <x:v>共通費・工程をどう扱うか</x:v>
      </x:c>
      <x:c r="C12" s="12" t="str">
        <x:v>部門別、工程別、ABC、補助部門配賦、連産品配分など。</x:v>
      </x:c>
      <x:c r="D12" s="12" t="str">
        <x:v>工数・機械時間・段取回数などで配賦する。</x:v>
      </x:c>
      <x:c r="E12" s="12" t="str">
        <x:v>集計方法や算定基準と組み合わせる技法。</x:v>
      </x:c>
      <x:c r="F12" s="12" t="str">
        <x:v>S1・編集</x:v>
      </x:c>
      <x:c r="G12" s="2"/>
      <x:c r="H12" s="2"/>
    </x:row>
    <x:row r="13" ht="64" customHeight="1">
      <x:c r="A13" s="13" t="str">
        <x:v>組合せ：量産品</x:v>
      </x:c>
      <x:c r="B13" s="13" t="str">
        <x:v>量産部品の原価管理</x:v>
      </x:c>
      <x:c r="C13" s="13" t="str">
        <x:v>材料は総平均、製品は工程別総合＋標準＋全部原価。</x:v>
      </x:c>
      <x:c r="D13" s="13" t="str">
        <x:v>購入価格、歩留まり、作業能率、操業度の差異を管理する。</x:v>
      </x:c>
      <x:c r="E13" s="13" t="str">
        <x:v>例示であり特定企業・ERPの推奨設定ではない。</x:v>
      </x:c>
      <x:c r="F13" s="13" t="str">
        <x:v>編集</x:v>
      </x:c>
      <x:c r="G13" s="2"/>
      <x:c r="H13" s="2"/>
    </x:row>
    <x:row r="14" ht="64" customHeight="1">
      <x:c r="A14" s="12" t="str">
        <x:v>組合せ：受注品</x:v>
      </x:c>
      <x:c r="B14" s="12" t="str">
        <x:v>案件ごとの採算管理</x:v>
      </x:c>
      <x:c r="C14" s="12" t="str">
        <x:v>材料は個別法、製品は個別＋実際＋全部原価。</x:v>
      </x:c>
      <x:c r="D14" s="12" t="str">
        <x:v>製番ごとに材料・工数・間接費を集計する。</x:v>
      </x:c>
      <x:c r="E14" s="12" t="str">
        <x:v>見積原価と実際原価を同じ製番で比較する。</x:v>
      </x:c>
      <x:c r="F14" s="12" t="str">
        <x:v>編集</x:v>
      </x:c>
      <x:c r="G14" s="2"/>
      <x:c r="H14" s="2"/>
    </x:row>
    <x:row r="15" ht="64" customHeight="1">
      <x:c r="A15" s="13" t="str">
        <x:v>掲載範囲</x:v>
      </x:c>
      <x:c r="B15" s="13" t="str">
        <x:v>「全種類」の範囲</x:v>
      </x:c>
      <x:c r="C15" s="13" t="str">
        <x:v>国内制度上の主要分類を網羅し、主要な管理会計・歴史的手法を補足。</x:v>
      </x:c>
      <x:c r="D15" s="13" t="str">
        <x:v>企業独自の呼称やERP固有の設定名は無数にある。</x:v>
      </x:c>
      <x:c r="E15" s="13" t="str">
        <x:v>世界中の派生手法を一意に数えた一覧ではない。対象区分を各表で明示。</x:v>
      </x:c>
      <x:c r="F15" s="13" t="str">
        <x:v>編集</x:v>
      </x:c>
      <x:c r="G15" s="2"/>
      <x:c r="H15" s="2"/>
    </x:row>
    <x:row r="16" ht="64" customHeight="1">
      <x:c r="A16" s="12" t="str">
        <x:v>数式つき計算例</x:v>
      </x:c>
      <x:c r="B16" s="12" t="str">
        <x:v>単価を変えるとどうなるか</x:v>
      </x:c>
      <x:c r="C16" s="12" t="str">
        <x:v>在庫例：同じ入出庫を6方法で比較。製品例：差異、個別、総合、等級別、ABC、直接原価。</x:v>
      </x:c>
      <x:c r="D16" s="12" t="str">
        <x:v>黄色セルは例題の入力、黒文字の数式セルは結果。</x:v>
      </x:c>
      <x:c r="E16" s="12" t="str">
        <x:v>入力条件が変わると計算結果も変わる。数量や率の意味を行ラベルで確認する。</x:v>
      </x:c>
      <x:c r="F16" s="12" t="str">
        <x:v>編集</x:v>
      </x:c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</x:sheetData>
  <x:pageMargins left="0.7" right="0.7" top="0.75" bottom="0.75" header="0.3" footer="0.3"/>
  <x:tableParts count="1">
    <x:tablePart xmlns:r="http://schemas.openxmlformats.org/officeDocument/2006/relationships" r:id="Rfba4b662078b48e3"/>
  </x:tableParts>
</x:worksheet>
</file>

<file path=xl/worksheets/sheet2.xml><?xml version="1.0" encoding="utf-8"?>
<x:worksheet xmlns:x="http://schemas.openxmlformats.org/spreadsheetml/2006/main">
  <x:sheetPr>
    <x:tabColor rgb="FF3C608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46" hidden="0" customWidth="1"/>
    <x:col min="4" max="4" width="42" hidden="0" customWidth="1"/>
    <x:col min="5" max="5" width="42" hidden="0" customWidth="1"/>
    <x:col min="6" max="6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① 原価の種類：算定基準・事前設定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6" t="str">
        <x:v>互いに排他的な種類ではない。予定・見積などの呼称は会社の定義も確認する。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10" t="str">
        <x:v>分類</x:v>
      </x:c>
      <x:c r="B6" s="10" t="str">
        <x:v>名称</x:v>
      </x:c>
      <x:c r="C6" s="10" t="str">
        <x:v>意味と算定方法</x:v>
      </x:c>
      <x:c r="D6" s="10" t="str">
        <x:v>用途・向く場面</x:v>
      </x:c>
      <x:c r="E6" s="10" t="str">
        <x:v>例・注意点</x:v>
      </x:c>
      <x:c r="F6" s="10" t="str">
        <x:v>出典</x:v>
      </x:c>
      <x:c r="G6" s="2"/>
      <x:c r="H6" s="2"/>
    </x:row>
    <x:row r="7" ht="64" customHeight="1">
      <x:c r="A7" s="13" t="str">
        <x:v>基本</x:v>
      </x:c>
      <x:c r="B7" s="13" t="str">
        <x:v>実際原価</x:v>
      </x:c>
      <x:c r="C7" s="13" t="str">
        <x:v>正常な事業活動で実際に消費した数量・時間を基礎に計算する。</x:v>
      </x:c>
      <x:c r="D7" s="13" t="str">
        <x:v>月次実績、製品採算、財務会計。実際数量×実際単価が代表形。</x:v>
      </x:c>
      <x:c r="E7" s="13" t="str">
        <x:v>材料220kg×110円＝24,200円。予定単価でも数量が実際なら実際原価計算に含まれ得る。</x:v>
      </x:c>
      <x:c r="F7" s="13" t="str">
        <x:v>S1</x:v>
      </x:c>
      <x:c r="G7" s="2"/>
      <x:c r="H7" s="2"/>
    </x:row>
    <x:row r="8" ht="64" customHeight="1">
      <x:c r="A8" s="12" t="str">
        <x:v>基本</x:v>
      </x:c>
      <x:c r="B8" s="12" t="str">
        <x:v>標準原価</x:v>
      </x:c>
      <x:c r="C8" s="12" t="str">
        <x:v>工程分析等で決めた達成すべき消費量と、予定価格・正常価格を使う。</x:v>
      </x:c>
      <x:c r="D8" s="12" t="str">
        <x:v>標準と実際の差異分析、在庫記帳、改善管理。</x:v>
      </x:c>
      <x:c r="E8" s="12" t="str">
        <x:v>100個×標準2kg×100円＝20,000円。実際数量220kgを使う予定単価計算とは区別。</x:v>
      </x:c>
      <x:c r="F8" s="12" t="str">
        <x:v>S1</x:v>
      </x:c>
      <x:c r="G8" s="2"/>
      <x:c r="H8" s="2"/>
    </x:row>
    <x:row r="9" ht="64" customHeight="1">
      <x:c r="A9" s="13" t="str">
        <x:v>実務の事前値</x:v>
      </x:c>
      <x:c r="B9" s="13" t="str">
        <x:v>予定原価</x:v>
      </x:c>
      <x:c r="C9" s="13" t="str">
        <x:v>将来の予定消費量・予定価格から作る事前の原価。科学的な能率標準とは限らない。</x:v>
      </x:c>
      <x:c r="D9" s="13" t="str">
        <x:v>予算、計画原価、月次の予定配賦。</x:v>
      </x:c>
      <x:c r="E9" s="13" t="str">
        <x:v>来期2.1kg×105円＝220.5円／個。予定価格を使うだけで製品全体が予定原価になるわけではない。</x:v>
      </x:c>
      <x:c r="F9" s="13" t="str">
        <x:v>S1</x:v>
      </x:c>
      <x:c r="G9" s="2"/>
      <x:c r="H9" s="2"/>
    </x:row>
    <x:row r="10" ht="64" customHeight="1">
      <x:c r="A10" s="12" t="str">
        <x:v>実務の事前値</x:v>
      </x:c>
      <x:c r="B10" s="12" t="str">
        <x:v>見積原価</x:v>
      </x:c>
      <x:c r="C10" s="12" t="str">
        <x:v>設計、数量、見積価格、見込工数を基に、案件や製品の原価を試算する。</x:v>
      </x:c>
      <x:c r="D10" s="12" t="str">
        <x:v>新製品、受注見積、設計変更の検討。</x:v>
      </x:c>
      <x:c r="E10" s="12" t="str">
        <x:v>予定原価と重なる用語。受注前の案から量産時の標準原価を設定することもある。</x:v>
      </x:c>
      <x:c r="F10" s="12" t="str">
        <x:v>S1・編集</x:v>
      </x:c>
      <x:c r="G10" s="2"/>
      <x:c r="H10" s="2"/>
    </x:row>
    <x:row r="11" ht="64" customHeight="1">
      <x:c r="A11" s="13" t="str">
        <x:v>標準の派生</x:v>
      </x:c>
      <x:c r="B11" s="13" t="str">
        <x:v>現実的標準原価</x:v>
      </x:c>
      <x:c r="C11" s="13" t="str">
        <x:v>良い能率で達成でき、通常の仕損・休止等の余裕も織り込んだ標準。</x:v>
      </x:c>
      <x:c r="D11" s="13" t="str">
        <x:v>現場の改善管理、短期予算、制度としての標準原価。</x:v>
      </x:c>
      <x:c r="E11" s="13" t="str">
        <x:v>正味2kg、歩留まり95%なら投入量2÷0.95kg。通常ロスを標準に含める。</x:v>
      </x:c>
      <x:c r="F11" s="13" t="str">
        <x:v>S1</x:v>
      </x:c>
      <x:c r="G11" s="2"/>
      <x:c r="H11" s="2"/>
    </x:row>
    <x:row r="12" ht="64" customHeight="1">
      <x:c r="A12" s="12" t="str">
        <x:v>標準の派生</x:v>
      </x:c>
      <x:c r="B12" s="12" t="str">
        <x:v>正常原価（正常標準原価）</x:v>
      </x:c>
      <x:c r="C12" s="12" t="str">
        <x:v>長期の実績を平準化し、将来の傾向を加えて決めた正常能率・操業度・価格による原価。</x:v>
      </x:c>
      <x:c r="D12" s="12" t="str">
        <x:v>短期の異常な変動を除いた評価・管理。</x:v>
      </x:c>
      <x:c r="E12" s="12" t="str">
        <x:v>数年の平均稼働・価格を基礎にする。英語のnormal costingと同じ意味とは限らない。</x:v>
      </x:c>
      <x:c r="F12" s="12" t="str">
        <x:v>S1</x:v>
      </x:c>
      <x:c r="G12" s="2"/>
      <x:c r="H12" s="2"/>
    </x:row>
    <x:row r="13" ht="64" customHeight="1">
      <x:c r="A13" s="13" t="str">
        <x:v>標準の派生</x:v>
      </x:c>
      <x:c r="B13" s="13" t="str">
        <x:v>理想標準原価</x:v>
      </x:c>
      <x:c r="C13" s="13" t="str">
        <x:v>ロスや休止を除き、理想的な最大能率を前提にする標準。</x:v>
      </x:c>
      <x:c r="D13" s="13" t="str">
        <x:v>技術的な限界、改善余地の把握。</x:v>
      </x:c>
      <x:c r="E13" s="13" t="str">
        <x:v>2kgを一切ロスなく投入。原価計算基準上、制度としての標準には使わない。</x:v>
      </x:c>
      <x:c r="F13" s="13" t="str">
        <x:v>S1</x:v>
      </x:c>
      <x:c r="G13" s="2"/>
      <x:c r="H13" s="2"/>
    </x:row>
    <x:row r="14" ht="64" customHeight="1">
      <x:c r="A14" s="12" t="str">
        <x:v>標準の派生・管理</x:v>
      </x:c>
      <x:c r="B14" s="12" t="str">
        <x:v>基準標準原価（基本標準）</x:v>
      </x:c>
      <x:c r="C14" s="12" t="str">
        <x:v>長く固定して、原価変化の比較基準として使う標準。</x:v>
      </x:c>
      <x:c r="D14" s="12" t="str">
        <x:v>長期の価格・能率の変化を見る指数や比較。</x:v>
      </x:c>
      <x:c r="E14" s="12" t="str">
        <x:v>基準年の1,000円を固定。現行の在庫評価や達成目標とは別に持つ。</x:v>
      </x:c>
      <x:c r="F14" s="12" t="str">
        <x:v>編集</x:v>
      </x:c>
      <x:c r="G14" s="2"/>
      <x:c r="H14" s="2"/>
    </x:row>
    <x:row r="15" ht="64" customHeight="1">
      <x:c r="A15" s="13" t="str">
        <x:v>計画・管理</x:v>
      </x:c>
      <x:c r="B15" s="13" t="str">
        <x:v>予算原価／計画原価</x:v>
      </x:c>
      <x:c r="C15" s="13" t="str">
        <x:v>予算数量・価格・能力・製品構成などを前提に作った原価。</x:v>
      </x:c>
      <x:c r="D15" s="13" t="str">
        <x:v>部門予算、年度計画、予実比較。</x:v>
      </x:c>
      <x:c r="E15" s="13" t="str">
        <x:v>数量が違う予算総額と実績総額を直接比較すると、数量の差も混じる。</x:v>
      </x:c>
      <x:c r="F15" s="13" t="str">
        <x:v>編集</x:v>
      </x:c>
      <x:c r="G15" s="2"/>
      <x:c r="H15" s="2"/>
    </x:row>
    <x:row r="16" ht="64" customHeight="1">
      <x:c r="A16" s="12" t="str">
        <x:v>企画・管理</x:v>
      </x:c>
      <x:c r="B16" s="12" t="str">
        <x:v>目標原価（許容原価）</x:v>
      </x:c>
      <x:c r="C16" s="12" t="str">
        <x:v>販売価格と必要利益から逆算する、達成が必要な原価。</x:v>
      </x:c>
      <x:c r="D16" s="12" t="str">
        <x:v>原価企画、設計段階のコスト目標。</x:v>
      </x:c>
      <x:c r="E16" s="12" t="str">
        <x:v>売価2,000円−目標利益400円＝1,600円。標準原価や見積原価と比較して改善する。</x:v>
      </x:c>
      <x:c r="F16" s="12" t="str">
        <x:v>編集</x:v>
      </x:c>
      <x:c r="G16" s="2"/>
      <x:c r="H16" s="2"/>
    </x:row>
    <x:row r="17" ht="64" customHeight="1">
      <x:c r="A17" s="13" t="str">
        <x:v>管理・価格情報</x:v>
      </x:c>
      <x:c r="B17" s="13" t="str">
        <x:v>再調達原価</x:v>
      </x:c>
      <x:c r="C17" s="13" t="str">
        <x:v>同じ物を現在調達し直すために必要な原価。</x:v>
      </x:c>
      <x:c r="D17" s="13" t="str">
        <x:v>値決め、購買判断、収益性低下の評価の参考。</x:v>
      </x:c>
      <x:c r="E17" s="13" t="str">
        <x:v>現在の購入単価＋付随費用。在庫の取得原価と区別し、適用条件を確認する。</x:v>
      </x:c>
      <x:c r="F17" s="13" t="str">
        <x:v>S2</x:v>
      </x:c>
      <x:c r="G17" s="2"/>
      <x:c r="H17" s="2"/>
    </x:row>
    <x:row r="18" ht="64" customHeight="1">
      <x:c r="A18" s="12" t="str">
        <x:v>管理・長期</x:v>
      </x:c>
      <x:c r="B18" s="12" t="str">
        <x:v>ライフサイクル原価</x:v>
      </x:c>
      <x:c r="C18" s="12" t="str">
        <x:v>研究・設計から製造、使用・保守、廃棄までの関連原価を捉える。</x:v>
      </x:c>
      <x:c r="D18" s="12" t="str">
        <x:v>製品企画、設備選択、長期採算。</x:v>
      </x:c>
      <x:c r="E18" s="12" t="str">
        <x:v>製造原価だけで安く見えても、保守費用を含めると逆転する場合がある。</x:v>
      </x:c>
      <x:c r="F18" s="12" t="str">
        <x:v>編集</x:v>
      </x:c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</x:sheetData>
  <x:pageMargins left="0.7" right="0.7" top="0.75" bottom="0.75" header="0.3" footer="0.3"/>
  <x:tableParts count="1">
    <x:tablePart xmlns:r="http://schemas.openxmlformats.org/officeDocument/2006/relationships" r:id="R8548ad4fc4d9441e"/>
  </x:tableParts>
</x:worksheet>
</file>

<file path=xl/worksheets/sheet3.xml><?xml version="1.0" encoding="utf-8"?>
<x:worksheet xmlns:x="http://schemas.openxmlformats.org/spreadsheetml/2006/main">
  <x:sheetPr>
    <x:tabColor rgb="FF3C608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46" hidden="0" customWidth="1"/>
    <x:col min="4" max="4" width="42" hidden="0" customWidth="1"/>
    <x:col min="5" max="5" width="42" hidden="0" customWidth="1"/>
    <x:col min="6" max="6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原価の区分：分類軸ごとの一覧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6" t="str">
        <x:v>同じ費用が、材料費・直接費・変動費など複数の区分に同時に属する。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10" t="str">
        <x:v>分類軸</x:v>
      </x:c>
      <x:c r="B6" s="10" t="str">
        <x:v>区分</x:v>
      </x:c>
      <x:c r="C6" s="10" t="str">
        <x:v>定義</x:v>
      </x:c>
      <x:c r="D6" s="10" t="str">
        <x:v>具体例・計算</x:v>
      </x:c>
      <x:c r="E6" s="10" t="str">
        <x:v>管理上の使い方・注意</x:v>
      </x:c>
      <x:c r="F6" s="10" t="str">
        <x:v>出典</x:v>
      </x:c>
      <x:c r="G6" s="2"/>
      <x:c r="H6" s="2"/>
    </x:row>
    <x:row r="7" ht="64" customHeight="1">
      <x:c r="A7" s="13" t="str">
        <x:v>発生形態</x:v>
      </x:c>
      <x:c r="B7" s="13" t="str">
        <x:v>材料費</x:v>
      </x:c>
      <x:c r="C7" s="13" t="str">
        <x:v>物を消費して発生する原価。</x:v>
      </x:c>
      <x:c r="D7" s="13" t="str">
        <x:v>主材料、副資材、買入部品、消耗工具等。</x:v>
      </x:c>
      <x:c r="E7" s="13" t="str">
        <x:v>購入時の金額と当期に使用した材料費は別。</x:v>
      </x:c>
      <x:c r="F7" s="13" t="str">
        <x:v>S1</x:v>
      </x:c>
      <x:c r="G7" s="2"/>
      <x:c r="H7" s="2"/>
    </x:row>
    <x:row r="8" ht="64" customHeight="1">
      <x:c r="A8" s="12" t="str">
        <x:v>発生形態</x:v>
      </x:c>
      <x:c r="B8" s="12" t="str">
        <x:v>労務費</x:v>
      </x:c>
      <x:c r="C8" s="12" t="str">
        <x:v>労働の提供によって発生する原価。</x:v>
      </x:c>
      <x:c r="D8" s="12" t="str">
        <x:v>賃金、給料、賞与、会社負担の福利費等。</x:v>
      </x:c>
      <x:c r="E8" s="12" t="str">
        <x:v>製品・工程に追跡できるものは直接労務費。</x:v>
      </x:c>
      <x:c r="F8" s="12" t="str">
        <x:v>S1</x:v>
      </x:c>
      <x:c r="G8" s="2"/>
      <x:c r="H8" s="2"/>
    </x:row>
    <x:row r="9" ht="64" customHeight="1">
      <x:c r="A9" s="13" t="str">
        <x:v>発生形態</x:v>
      </x:c>
      <x:c r="B9" s="13" t="str">
        <x:v>経費</x:v>
      </x:c>
      <x:c r="C9" s="13" t="str">
        <x:v>材料費・労務費以外の原価。</x:v>
      </x:c>
      <x:c r="D9" s="13" t="str">
        <x:v>減価償却、電力、外注加工、賃借料等。</x:v>
      </x:c>
      <x:c r="E9" s="13" t="str">
        <x:v>経費は全て間接費という意味ではない。</x:v>
      </x:c>
      <x:c r="F9" s="13" t="str">
        <x:v>S1</x:v>
      </x:c>
      <x:c r="G9" s="2"/>
      <x:c r="H9" s="2"/>
    </x:row>
    <x:row r="10" ht="64" customHeight="1">
      <x:c r="A10" s="12" t="str">
        <x:v>機能</x:v>
      </x:c>
      <x:c r="B10" s="12" t="str">
        <x:v>製造原価</x:v>
      </x:c>
      <x:c r="C10" s="12" t="str">
        <x:v>製品の製造にかかわる原価。</x:v>
      </x:c>
      <x:c r="D10" s="12" t="str">
        <x:v>材料費＋労務費＋製造経費。</x:v>
      </x:c>
      <x:c r="E10" s="12" t="str">
        <x:v>完成品・仕掛品の評価につながる。</x:v>
      </x:c>
      <x:c r="F10" s="12" t="str">
        <x:v>S1</x:v>
      </x:c>
      <x:c r="G10" s="2"/>
      <x:c r="H10" s="2"/>
    </x:row>
    <x:row r="11" ht="64" customHeight="1">
      <x:c r="A11" s="13" t="str">
        <x:v>機能</x:v>
      </x:c>
      <x:c r="B11" s="13" t="str">
        <x:v>販売費</x:v>
      </x:c>
      <x:c r="C11" s="13" t="str">
        <x:v>製品販売のために発生する費用。</x:v>
      </x:c>
      <x:c r="D11" s="13" t="str">
        <x:v>広告、販売手数料、販売部門費等。</x:v>
      </x:c>
      <x:c r="E11" s="13" t="str">
        <x:v>通常、製造在庫の評価に含めない。</x:v>
      </x:c>
      <x:c r="F11" s="13" t="str">
        <x:v>S1</x:v>
      </x:c>
      <x:c r="G11" s="2"/>
      <x:c r="H11" s="2"/>
    </x:row>
    <x:row r="12" ht="64" customHeight="1">
      <x:c r="A12" s="12" t="str">
        <x:v>機能</x:v>
      </x:c>
      <x:c r="B12" s="12" t="str">
        <x:v>一般管理費</x:v>
      </x:c>
      <x:c r="C12" s="12" t="str">
        <x:v>企業全体の管理のための費用。</x:v>
      </x:c>
      <x:c r="D12" s="12" t="str">
        <x:v>本社経理・総務の人件費等。</x:v>
      </x:c>
      <x:c r="E12" s="12" t="str">
        <x:v>全部原価計算でも全てが製造在庫に入るわけではない。</x:v>
      </x:c>
      <x:c r="F12" s="12" t="str">
        <x:v>S1</x:v>
      </x:c>
      <x:c r="G12" s="2"/>
      <x:c r="H12" s="2"/>
    </x:row>
    <x:row r="13" ht="64" customHeight="1">
      <x:c r="A13" s="13" t="str">
        <x:v>製品との関係</x:v>
      </x:c>
      <x:c r="B13" s="13" t="str">
        <x:v>直接費</x:v>
      </x:c>
      <x:c r="C13" s="13" t="str">
        <x:v>特定の製品・案件に直接追跡できる費用。</x:v>
      </x:c>
      <x:c r="D13" s="13" t="str">
        <x:v>製番Aに使った部品、記録された作業工数。</x:v>
      </x:c>
      <x:c r="E13" s="13" t="str">
        <x:v>何を原価対象にするかで直接／間接は変わる。</x:v>
      </x:c>
      <x:c r="F13" s="13" t="str">
        <x:v>S1</x:v>
      </x:c>
      <x:c r="G13" s="2"/>
      <x:c r="H13" s="2"/>
    </x:row>
    <x:row r="14" ht="64" customHeight="1">
      <x:c r="A14" s="12" t="str">
        <x:v>製品との関係</x:v>
      </x:c>
      <x:c r="B14" s="12" t="str">
        <x:v>間接費</x:v>
      </x:c>
      <x:c r="C14" s="12" t="str">
        <x:v>特定の製品・案件へ直接追跡しにくい共通費。</x:v>
      </x:c>
      <x:c r="D14" s="12" t="str">
        <x:v>工場家賃、複数製品に使う設備の償却等。</x:v>
      </x:c>
      <x:c r="E14" s="12" t="str">
        <x:v>工数、機械時間などの基準で配賦する。</x:v>
      </x:c>
      <x:c r="F14" s="12" t="str">
        <x:v>S1</x:v>
      </x:c>
      <x:c r="G14" s="2"/>
      <x:c r="H14" s="2"/>
    </x:row>
    <x:row r="15" ht="64" customHeight="1">
      <x:c r="A15" s="13" t="str">
        <x:v>操業度との関係</x:v>
      </x:c>
      <x:c r="B15" s="13" t="str">
        <x:v>変動費</x:v>
      </x:c>
      <x:c r="C15" s="13" t="str">
        <x:v>関連範囲内で、生産量等に応じて総額が変わる費用。</x:v>
      </x:c>
      <x:c r="D15" s="13" t="str">
        <x:v>材料単価100円×生産量。</x:v>
      </x:c>
      <x:c r="E15" s="13" t="str">
        <x:v>変動費単価が一定という仮定の範囲を明示する。</x:v>
      </x:c>
      <x:c r="F15" s="13" t="str">
        <x:v>S1</x:v>
      </x:c>
      <x:c r="G15" s="2"/>
      <x:c r="H15" s="2"/>
    </x:row>
    <x:row r="16" ht="64" customHeight="1">
      <x:c r="A16" s="12" t="str">
        <x:v>操業度との関係</x:v>
      </x:c>
      <x:c r="B16" s="12" t="str">
        <x:v>固定費</x:v>
      </x:c>
      <x:c r="C16" s="12" t="str">
        <x:v>関連範囲・期間内で、操業度にかかわらず総額がほぼ一定。</x:v>
      </x:c>
      <x:c r="D16" s="12" t="str">
        <x:v>工場賃料月100万円。</x:v>
      </x:c>
      <x:c r="E16" s="12" t="str">
        <x:v>単位当たり固定費は生産量が増えるほど小さくなる。</x:v>
      </x:c>
      <x:c r="F16" s="12" t="str">
        <x:v>S1</x:v>
      </x:c>
      <x:c r="G16" s="2"/>
      <x:c r="H16" s="2"/>
    </x:row>
    <x:row r="17" ht="64" customHeight="1">
      <x:c r="A17" s="13" t="str">
        <x:v>操業度との関係</x:v>
      </x:c>
      <x:c r="B17" s="13" t="str">
        <x:v>準変動費（混合費）</x:v>
      </x:c>
      <x:c r="C17" s="13" t="str">
        <x:v>固定部分と変動部分を持つ費用。</x:v>
      </x:c>
      <x:c r="D17" s="13" t="str">
        <x:v>電気の基本料金＋使用量料金。</x:v>
      </x:c>
      <x:c r="E17" s="13" t="str">
        <x:v>固定部分と変動部分へ分解する。</x:v>
      </x:c>
      <x:c r="F17" s="13" t="str">
        <x:v>編集</x:v>
      </x:c>
      <x:c r="G17" s="2"/>
      <x:c r="H17" s="2"/>
    </x:row>
    <x:row r="18" ht="64" customHeight="1">
      <x:c r="A18" s="12" t="str">
        <x:v>操業度との関係</x:v>
      </x:c>
      <x:c r="B18" s="12" t="str">
        <x:v>準固定費（段階固定費）</x:v>
      </x:c>
      <x:c r="C18" s="12" t="str">
        <x:v>能力の境界を超えると段階的に増える費用。</x:v>
      </x:c>
      <x:c r="D18" s="12" t="str">
        <x:v>一定台数を超えたときの設備・監督者の追加。</x:v>
      </x:c>
      <x:c r="E18" s="12" t="str">
        <x:v>全生産範囲で固定と扱わない。</x:v>
      </x:c>
      <x:c r="F18" s="12" t="str">
        <x:v>編集</x:v>
      </x:c>
      <x:c r="G18" s="2"/>
      <x:c r="H18" s="2"/>
    </x:row>
    <x:row r="19" ht="64" customHeight="1">
      <x:c r="A19" s="13" t="str">
        <x:v>算入範囲</x:v>
      </x:c>
      <x:c r="B19" s="13" t="str">
        <x:v>全部原価</x:v>
      </x:c>
      <x:c r="C19" s="13" t="str">
        <x:v>対象に関連する原価を全て含めた原価。</x:v>
      </x:c>
      <x:c r="D19" s="13" t="str">
        <x:v>製造の場合は変動製造費＋固定製造費。</x:v>
      </x:c>
      <x:c r="E19" s="13" t="str">
        <x:v>製造全部原価と、販管費も含む総原価を区別する。</x:v>
      </x:c>
      <x:c r="F19" s="13" t="str">
        <x:v>S1</x:v>
      </x:c>
      <x:c r="G19" s="2"/>
      <x:c r="H19" s="2"/>
    </x:row>
    <x:row r="20" ht="64" customHeight="1">
      <x:c r="A20" s="12" t="str">
        <x:v>算入範囲</x:v>
      </x:c>
      <x:c r="B20" s="12" t="str">
        <x:v>部分原価</x:v>
      </x:c>
      <x:c r="C20" s="12" t="str">
        <x:v>目的に応じて原価の一部だけを集めた原価。</x:v>
      </x:c>
      <x:c r="D20" s="12" t="str">
        <x:v>変動製造費のみ、差額原価のみ等。</x:v>
      </x:c>
      <x:c r="E20" s="12" t="str">
        <x:v>部分の範囲を定義して利用する。</x:v>
      </x:c>
      <x:c r="F20" s="12" t="str">
        <x:v>S1</x:v>
      </x:c>
      <x:c r="G20" s="2"/>
      <x:c r="H20" s="2"/>
    </x:row>
    <x:row r="21" ht="64" customHeight="1">
      <x:c r="A21" s="13" t="str">
        <x:v>費用化の時期</x:v>
      </x:c>
      <x:c r="B21" s="13" t="str">
        <x:v>製品原価</x:v>
      </x:c>
      <x:c r="C21" s="13" t="str">
        <x:v>在庫に集計し、販売等に応じて費用化される原価。</x:v>
      </x:c>
      <x:c r="D21" s="13" t="str">
        <x:v>通常の製造原価。</x:v>
      </x:c>
      <x:c r="E21" s="13" t="str">
        <x:v>完成しても未販売なら原則として在庫。</x:v>
      </x:c>
      <x:c r="F21" s="13" t="str">
        <x:v>S1・編集</x:v>
      </x:c>
      <x:c r="G21" s="2"/>
      <x:c r="H21" s="2"/>
    </x:row>
    <x:row r="22" ht="64" customHeight="1">
      <x:c r="A22" s="12" t="str">
        <x:v>費用化の時期</x:v>
      </x:c>
      <x:c r="B22" s="12" t="str">
        <x:v>期間原価</x:v>
      </x:c>
      <x:c r="C22" s="12" t="str">
        <x:v>当該期間の費用として処理する原価。</x:v>
      </x:c>
      <x:c r="D22" s="12" t="str">
        <x:v>販売費、一般管理費。</x:v>
      </x:c>
      <x:c r="E22" s="12" t="str">
        <x:v>直接原価計算では固定製造費も期間費用にする。</x:v>
      </x:c>
      <x:c r="F22" s="12" t="str">
        <x:v>S1・編集</x:v>
      </x:c>
      <x:c r="G22" s="2"/>
      <x:c r="H22" s="2"/>
    </x:row>
    <x:row r="23" ht="64" customHeight="1">
      <x:c r="A23" s="13" t="str">
        <x:v>責任・管理可能性</x:v>
      </x:c>
      <x:c r="B23" s="13" t="str">
        <x:v>管理可能費</x:v>
      </x:c>
      <x:c r="C23" s="13" t="str">
        <x:v>対象管理者が、対象期間で影響を与えられる費用。</x:v>
      </x:c>
      <x:c r="D23" s="13" t="str">
        <x:v>現場責任者が調整できる残業・消耗品。</x:v>
      </x:c>
      <x:c r="E23" s="13" t="str">
        <x:v>誰にとって、どの期間で可能かを明示する。</x:v>
      </x:c>
      <x:c r="F23" s="13" t="str">
        <x:v>S1</x:v>
      </x:c>
      <x:c r="G23" s="2"/>
      <x:c r="H23" s="2"/>
    </x:row>
    <x:row r="24" ht="64" customHeight="1">
      <x:c r="A24" s="12" t="str">
        <x:v>責任・管理可能性</x:v>
      </x:c>
      <x:c r="B24" s="12" t="str">
        <x:v>管理不能費</x:v>
      </x:c>
      <x:c r="C24" s="12" t="str">
        <x:v>対象管理者が、対象期間で直接変えられない費用。</x:v>
      </x:c>
      <x:c r="D24" s="12" t="str">
        <x:v>工場長へ配賦される本社決定の設備償却。</x:v>
      </x:c>
      <x:c r="E24" s="12" t="str">
        <x:v>企業全体で永久に変更できないという意味ではない。</x:v>
      </x:c>
      <x:c r="F24" s="12" t="str">
        <x:v>S1</x:v>
      </x:c>
      <x:c r="G24" s="2"/>
      <x:c r="H24" s="2"/>
    </x:row>
    <x:row r="25" ht="64" customHeight="1">
      <x:c r="A25" s="13" t="str">
        <x:v>正常性</x:v>
      </x:c>
      <x:c r="B25" s="13" t="str">
        <x:v>正常原価／正常な原価</x:v>
      </x:c>
      <x:c r="C25" s="13" t="str">
        <x:v>正常な活動を前提とする価値の消費。</x:v>
      </x:c>
      <x:c r="D25" s="13" t="str">
        <x:v>通常発生する材料ロス・仕損。</x:v>
      </x:c>
      <x:c r="E25" s="13" t="str">
        <x:v>①の長期標準としての正常原価と、文脈を区別。</x:v>
      </x:c>
      <x:c r="F25" s="13" t="str">
        <x:v>S1</x:v>
      </x:c>
      <x:c r="G25" s="2"/>
      <x:c r="H25" s="2"/>
    </x:row>
    <x:row r="26" ht="64" customHeight="1">
      <x:c r="A26" s="12" t="str">
        <x:v>正常性</x:v>
      </x:c>
      <x:c r="B26" s="12" t="str">
        <x:v>異常損失・非原価項目</x:v>
      </x:c>
      <x:c r="C26" s="12" t="str">
        <x:v>異常事象による損失など、制度上の原価に含めない項目。</x:v>
      </x:c>
      <x:c r="D26" s="12" t="str">
        <x:v>災害損失、異常な仕損、事業目的外の費用。</x:v>
      </x:c>
      <x:c r="E26" s="12" t="str">
        <x:v>通常仕損と異常仕損を分ける。原価へ全て押し込まない。</x:v>
      </x:c>
      <x:c r="F26" s="12" t="str">
        <x:v>S1</x:v>
      </x:c>
      <x:c r="G26" s="2"/>
      <x:c r="H26" s="2"/>
    </x:row>
    <x:row r="27" ht="64" customHeight="1">
      <x:c r="A27" s="13" t="str">
        <x:v>生産段階</x:v>
      </x:c>
      <x:c r="B27" s="13" t="str">
        <x:v>仕掛品原価</x:v>
      </x:c>
      <x:c r="C27" s="13" t="str">
        <x:v>まだ製造途中の品物に集計した原価。</x:v>
      </x:c>
      <x:c r="D27" s="13" t="str">
        <x:v>材料投入済み、加工は50%完了。</x:v>
      </x:c>
      <x:c r="E27" s="13" t="str">
        <x:v>完成品換算量と投入時点を考慮する。</x:v>
      </x:c>
      <x:c r="F27" s="13" t="str">
        <x:v>S1</x:v>
      </x:c>
      <x:c r="G27" s="2"/>
      <x:c r="H27" s="2"/>
    </x:row>
    <x:row r="28" ht="64" customHeight="1">
      <x:c r="A28" s="12" t="str">
        <x:v>生産段階</x:v>
      </x:c>
      <x:c r="B28" s="12" t="str">
        <x:v>半製品原価</x:v>
      </x:c>
      <x:c r="C28" s="12" t="str">
        <x:v>工程を終え、さらに後工程の加工に使う中間製品の原価。</x:v>
      </x:c>
      <x:c r="D28" s="12" t="str">
        <x:v>成形を終えた部材を組立工程へ渡す。</x:v>
      </x:c>
      <x:c r="E28" s="12" t="str">
        <x:v>半製品の定義・工程間受払は会社ごとに確認。</x:v>
      </x:c>
      <x:c r="F28" s="12" t="str">
        <x:v>編集</x:v>
      </x:c>
      <x:c r="G28" s="2"/>
      <x:c r="H28" s="2"/>
    </x:row>
    <x:row r="29" ht="64" customHeight="1">
      <x:c r="A29" s="13" t="str">
        <x:v>生産段階</x:v>
      </x:c>
      <x:c r="B29" s="13" t="str">
        <x:v>製品原価</x:v>
      </x:c>
      <x:c r="C29" s="13" t="str">
        <x:v>完成した製品に集計された原価。</x:v>
      </x:c>
      <x:c r="D29" s="13" t="str">
        <x:v>完成品100個の原価170,000円。</x:v>
      </x:c>
      <x:c r="E29" s="13" t="str">
        <x:v>費用化時期の意味での製品原価より狭い呼び方。</x:v>
      </x:c>
      <x:c r="F29" s="13" t="str">
        <x:v>編集</x:v>
      </x:c>
      <x:c r="G29" s="2"/>
      <x:c r="H29" s="2"/>
    </x:row>
    <x:row r="30" ht="64" customHeight="1">
      <x:c r="A30" s="12" t="str">
        <x:v>費用化後</x:v>
      </x:c>
      <x:c r="B30" s="12" t="str">
        <x:v>売上原価</x:v>
      </x:c>
      <x:c r="C30" s="12" t="str">
        <x:v>販売した商品・製品に対応する原価。</x:v>
      </x:c>
      <x:c r="D30" s="12" t="str">
        <x:v>期首製品＋当期完成品−期末製品が基本形。</x:v>
      </x:c>
      <x:c r="E30" s="12" t="str">
        <x:v>評価損等の扱いは会計基準に従う。</x:v>
      </x:c>
      <x:c r="F30" s="12" t="str">
        <x:v>S2・編集</x:v>
      </x:c>
      <x:c r="G30" s="2"/>
      <x:c r="H30" s="2"/>
    </x:row>
    <x:row r="31" ht="64" customHeight="1">
      <x:c r="A31" s="13" t="str">
        <x:v>加工のまとまり</x:v>
      </x:c>
      <x:c r="B31" s="13" t="str">
        <x:v>素価（主要原価）</x:v>
      </x:c>
      <x:c r="C31" s="13" t="str">
        <x:v>直接材料費と直接労務費の合計。</x:v>
      </x:c>
      <x:c r="D31" s="13" t="str">
        <x:v>20,000円＋100,000円＝120,000円。</x:v>
      </x:c>
      <x:c r="E31" s="13" t="str">
        <x:v>資料によって定義が異なる場合がある。</x:v>
      </x:c>
      <x:c r="F31" s="13" t="str">
        <x:v>編集</x:v>
      </x:c>
      <x:c r="G31" s="2"/>
      <x:c r="H31" s="2"/>
    </x:row>
    <x:row r="32" ht="64" customHeight="1">
      <x:c r="A32" s="12" t="str">
        <x:v>加工のまとまり</x:v>
      </x:c>
      <x:c r="B32" s="12" t="str">
        <x:v>加工費</x:v>
      </x:c>
      <x:c r="C32" s="12" t="str">
        <x:v>製品を加工するための費用のまとまり。</x:v>
      </x:c>
      <x:c r="D32" s="12" t="str">
        <x:v>直接労務費＋製造間接費。</x:v>
      </x:c>
      <x:c r="E32" s="12" t="str">
        <x:v>総合原価計算では材料費と別の換算量で計算。</x:v>
      </x:c>
      <x:c r="F32" s="12" t="str">
        <x:v>S1</x:v>
      </x:c>
      <x:c r="G32" s="2"/>
      <x:c r="H32" s="2"/>
    </x:row>
    <x:row r="33" ht="64" customHeight="1">
      <x:c r="A33" s="13" t="str">
        <x:v>意思決定</x:v>
      </x:c>
      <x:c r="B33" s="13" t="str">
        <x:v>差額原価／増分原価</x:v>
      </x:c>
      <x:c r="C33" s="13" t="str">
        <x:v>選択肢の違いによって増減する原価。</x:v>
      </x:c>
      <x:c r="D33" s="13" t="str">
        <x:v>内製と外注で変わる費用の差。</x:v>
      </x:c>
      <x:c r="E33" s="13" t="str">
        <x:v>回避できない配賦固定費を機械的に判断に含めない。</x:v>
      </x:c>
      <x:c r="F33" s="13" t="str">
        <x:v>S1・編集</x:v>
      </x:c>
      <x:c r="G33" s="2"/>
      <x:c r="H33" s="2"/>
    </x:row>
    <x:row r="34" ht="64" customHeight="1">
      <x:c r="A34" s="12" t="str">
        <x:v>意思決定</x:v>
      </x:c>
      <x:c r="B34" s="12" t="str">
        <x:v>機会原価</x:v>
      </x:c>
      <x:c r="C34" s="12" t="str">
        <x:v>ある選択で失う、最善の代替案の利益。</x:v>
      </x:c>
      <x:c r="D34" s="12" t="str">
        <x:v>設備をAへ使うと失うBの限界利益。</x:v>
      </x:c>
      <x:c r="E34" s="12" t="str">
        <x:v>帳簿に記録される支出とは限らない。</x:v>
      </x:c>
      <x:c r="F34" s="12" t="str">
        <x:v>S1・編集</x:v>
      </x:c>
      <x:c r="G34" s="2"/>
      <x:c r="H34" s="2"/>
    </x:row>
    <x:row r="35" ht="64" customHeight="1">
      <x:c r="A35" s="13" t="str">
        <x:v>意思決定</x:v>
      </x:c>
      <x:c r="B35" s="13" t="str">
        <x:v>埋没原価</x:v>
      </x:c>
      <x:c r="C35" s="13" t="str">
        <x:v>既に発生し、今の選択で回収・変更できない原価。</x:v>
      </x:c>
      <x:c r="D35" s="13" t="str">
        <x:v>過去に支払った調査費。</x:v>
      </x:c>
      <x:c r="E35" s="13" t="str">
        <x:v>将来の選択比較では原則として差額にならない。</x:v>
      </x:c>
      <x:c r="F35" s="13" t="str">
        <x:v>編集</x:v>
      </x:c>
      <x:c r="G35" s="2"/>
      <x:c r="H35" s="2"/>
    </x:row>
    <x:row r="36" ht="64" customHeight="1">
      <x:c r="A36" s="12" t="str">
        <x:v>意思決定</x:v>
      </x:c>
      <x:c r="B36" s="12" t="str">
        <x:v>関連原価／無関連原価</x:v>
      </x:c>
      <x:c r="C36" s="12" t="str">
        <x:v>その意思決定で変わる将来原価／変わらない原価。</x:v>
      </x:c>
      <x:c r="D36" s="12" t="str">
        <x:v>追加受注による増分費用／既払費用。</x:v>
      </x:c>
      <x:c r="E36" s="12" t="str">
        <x:v>関連範囲は意思決定と制約条件に依存する。</x:v>
      </x:c>
      <x:c r="F36" s="12" t="str">
        <x:v>編集</x:v>
      </x:c>
      <x:c r="G36" s="2"/>
      <x:c r="H36" s="2"/>
    </x:row>
    <x:row r="37" ht="64" customHeight="1">
      <x:c r="A37" s="13" t="str">
        <x:v>意思決定</x:v>
      </x:c>
      <x:c r="B37" s="13" t="str">
        <x:v>回避可能／回避不能原価</x:v>
      </x:c>
      <x:c r="C37" s="13" t="str">
        <x:v>事業等を止めると省ける原価／なお発生する原価。</x:v>
      </x:c>
      <x:c r="D37" s="13" t="str">
        <x:v>専用契約の解約可能費／残る工場家賃。</x:v>
      </x:c>
      <x:c r="E37" s="13" t="str">
        <x:v>固定費でも回避可能なことがある。</x:v>
      </x:c>
      <x:c r="F37" s="13" t="str">
        <x:v>編集</x:v>
      </x:c>
      <x:c r="G37" s="2"/>
      <x:c r="H37" s="2"/>
    </x:row>
    <x:row r="38" ht="64" customHeight="1">
      <x:c r="A38" s="12" t="str">
        <x:v>意思決定</x:v>
      </x:c>
      <x:c r="B38" s="12" t="str">
        <x:v>付加原価</x:v>
      </x:c>
      <x:c r="C38" s="12" t="str">
        <x:v>特定の判断のために、帳簿外で追加的に認識する原価。</x:v>
      </x:c>
      <x:c r="D38" s="12" t="str">
        <x:v>自己所有資源の利用価値などを判断用に計上。</x:v>
      </x:c>
      <x:c r="E38" s="12" t="str">
        <x:v>法定帳簿の取得原価と分けて扱う。</x:v>
      </x:c>
      <x:c r="F38" s="12" t="str">
        <x:v>S1・編集</x:v>
      </x:c>
      <x:c r="G38" s="2"/>
      <x:c r="H38" s="2"/>
    </x:row>
    <x:row r="39" ht="64" customHeight="1">
      <x:c r="A39" s="13" t="str">
        <x:v>処理量の変化</x:v>
      </x:c>
      <x:c r="B39" s="13" t="str">
        <x:v>限界原価</x:v>
      </x:c>
      <x:c r="C39" s="13" t="str">
        <x:v>生産を1単位増やすと追加される原価。</x:v>
      </x:c>
      <x:c r="D39" s="13" t="str">
        <x:v>余力がある場合の追加1個の材料・加工費。</x:v>
      </x:c>
      <x:c r="E39" s="13" t="str">
        <x:v>設備追加が必要なら単純な変動費単価とは一致しない。</x:v>
      </x:c>
      <x:c r="F39" s="13" t="str">
        <x:v>編集</x:v>
      </x:c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</x:sheetData>
  <x:pageMargins left="0.7" right="0.7" top="0.75" bottom="0.75" header="0.3" footer="0.3"/>
  <x:tableParts count="1">
    <x:tablePart xmlns:r="http://schemas.openxmlformats.org/officeDocument/2006/relationships" r:id="Re3e61baa374f4064"/>
  </x:tableParts>
</x:worksheet>
</file>

<file path=xl/worksheets/sheet4.xml><?xml version="1.0" encoding="utf-8"?>
<x:worksheet xmlns:x="http://schemas.openxmlformats.org/spreadsheetml/2006/main">
  <x:sheetPr>
    <x:tabColor rgb="FF3C608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46" hidden="0" customWidth="1"/>
    <x:col min="4" max="4" width="42" hidden="0" customWidth="1"/>
    <x:col min="5" max="5" width="42" hidden="0" customWidth="1"/>
    <x:col min="6" max="6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② 在庫評価・材料単価の方法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6" t="str">
        <x:v>財務会計の原価配分、税務の評価、ERPの日常払出単価、期末評価を区別する。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10" t="str">
        <x:v>位置づけ</x:v>
      </x:c>
      <x:c r="B6" s="10" t="str">
        <x:v>方法</x:v>
      </x:c>
      <x:c r="C6" s="10" t="str">
        <x:v>しくみ・式</x:v>
      </x:c>
      <x:c r="D6" s="10" t="str">
        <x:v>向く場面・利点</x:v>
      </x:c>
      <x:c r="E6" s="10" t="str">
        <x:v>注意点・制度上の扱い</x:v>
      </x:c>
      <x:c r="F6" s="10" t="str">
        <x:v>出典</x:v>
      </x:c>
      <x:c r="G6" s="2"/>
      <x:c r="H6" s="2"/>
    </x:row>
    <x:row r="7" ht="64" customHeight="1">
      <x:c r="A7" s="13" t="str">
        <x:v>日本基準・税務</x:v>
      </x:c>
      <x:c r="B7" s="13" t="str">
        <x:v>個別法</x:v>
      </x:c>
      <x:c r="C7" s="13" t="str">
        <x:v>品物・ロット等を区別し、残っているものの実際取得原価を合計。</x:v>
      </x:c>
      <x:c r="D7" s="13" t="str">
        <x:v>特注品、高額品、個別性が強い資産。実物と原価が対応する。</x:v>
      </x:c>
      <x:c r="E7" s="13" t="str">
        <x:v>取得原価の追跡が必要。単にロットを持つだけで個別法とは限らない。</x:v>
      </x:c>
      <x:c r="F7" s="13" t="str">
        <x:v>S2・S3</x:v>
      </x:c>
      <x:c r="G7" s="2"/>
      <x:c r="H7" s="2"/>
    </x:row>
    <x:row r="8" ht="64" customHeight="1">
      <x:c r="A8" s="12" t="str">
        <x:v>日本基準・税務</x:v>
      </x:c>
      <x:c r="B8" s="12" t="str">
        <x:v>先入先出法（FIFO）</x:v>
      </x:c>
      <x:c r="C8" s="12" t="str">
        <x:v>古い取得分から払い出したと仮定し、残りを新しい取得原価で評価。</x:v>
      </x:c>
      <x:c r="D8" s="12" t="str">
        <x:v>単価層を管理できる在庫。期末在庫に新しい取得単価が残る。</x:v>
      </x:c>
      <x:c r="E8" s="12" t="str">
        <x:v>会計上の仮定。実際の倉庫での先入先出とは独立。</x:v>
      </x:c>
      <x:c r="F8" s="12" t="str">
        <x:v>S2・S3</x:v>
      </x:c>
      <x:c r="G8" s="2"/>
      <x:c r="H8" s="2"/>
    </x:row>
    <x:row r="9" ht="64" customHeight="1">
      <x:c r="A9" s="13" t="str">
        <x:v>日本基準・税務</x:v>
      </x:c>
      <x:c r="B9" s="13" t="str">
        <x:v>総平均法</x:v>
      </x:c>
      <x:c r="C9" s="13" t="str">
        <x:v>（期首在庫金額＋期間受入金額）÷（期首数量＋期間受入数量）。</x:v>
      </x:c>
      <x:c r="D9" s="13" t="str">
        <x:v>月・期などのまとまりで単価を平準化。計算構造が簡単。</x:v>
      </x:c>
      <x:c r="E9" s="13" t="str">
        <x:v>受入だけの平均ではない。期間末まで確定しないため仮単価と再評価が必要な場合がある。</x:v>
      </x:c>
      <x:c r="F9" s="13" t="str">
        <x:v>S2・S3</x:v>
      </x:c>
      <x:c r="G9" s="2"/>
      <x:c r="H9" s="2"/>
    </x:row>
    <x:row r="10" ht="64" customHeight="1">
      <x:c r="A10" s="12" t="str">
        <x:v>日本基準・税務</x:v>
      </x:c>
      <x:c r="B10" s="12" t="str">
        <x:v>移動平均法</x:v>
      </x:c>
      <x:c r="C10" s="12" t="str">
        <x:v>受入のたびに（受入前残高金額＋受入金額）÷（残高数量＋受入数量）。</x:v>
      </x:c>
      <x:c r="D10" s="12" t="str">
        <x:v>取引ごとの在庫・払出原価を把握。単価変動を平準化。</x:v>
      </x:c>
      <x:c r="E10" s="12" t="str">
        <x:v>入出庫の順序で結果が変わる。負在庫・遡及計上・返品で単価調整が必要。</x:v>
      </x:c>
      <x:c r="F10" s="12" t="str">
        <x:v>S2・S3</x:v>
      </x:c>
      <x:c r="G10" s="2"/>
      <x:c r="H10" s="2"/>
    </x:row>
    <x:row r="11" ht="64" customHeight="1">
      <x:c r="A11" s="13" t="str">
        <x:v>日本基準・税務</x:v>
      </x:c>
      <x:c r="B11" s="13" t="str">
        <x:v>売価還元法</x:v>
      </x:c>
      <x:c r="C11" s="13" t="str">
        <x:v>グループの期末売価総額×原価率で在庫原価を推定。</x:v>
      </x:c>
      <x:c r="D11" s="13" t="str">
        <x:v>商品数が非常に多く、粗利率が類似する小売業等。</x:v>
      </x:c>
      <x:c r="E11" s="13" t="str">
        <x:v>工場の材料払出単価の代表方法ではない。値上・値下・原価率の扱いを定義する。</x:v>
      </x:c>
      <x:c r="F11" s="13" t="str">
        <x:v>S2・S3</x:v>
      </x:c>
      <x:c r="G11" s="2"/>
      <x:c r="H11" s="2"/>
    </x:row>
    <x:row r="12" ht="64" customHeight="1">
      <x:c r="A12" s="12" t="str">
        <x:v>税務・管理</x:v>
      </x:c>
      <x:c r="B12" s="12" t="str">
        <x:v>最終仕入原価法</x:v>
      </x:c>
      <x:c r="C12" s="12" t="str">
        <x:v>期末在庫数量×期末に最も近い仕入れの取得単価。</x:v>
      </x:c>
      <x:c r="D12" s="12" t="str">
        <x:v>数量と最終単価で評価でき、計算が容易。</x:v>
      </x:c>
      <x:c r="E12" s="12" t="str">
        <x:v>法人税の選択肢。ASBJの基本4方法には含まれない。重要性が乏しい等の扱いと区別。</x:v>
      </x:c>
      <x:c r="F12" s="12" t="str">
        <x:v>S2・S3</x:v>
      </x:c>
      <x:c r="G12" s="2"/>
      <x:c r="H12" s="2"/>
    </x:row>
    <x:row r="13" ht="64" customHeight="1">
      <x:c r="A13" s="13" t="str">
        <x:v>ERP・管理単価</x:v>
      </x:c>
      <x:c r="B13" s="13" t="str">
        <x:v>標準単価による受払（標準原価法）</x:v>
      </x:c>
      <x:c r="C13" s="13" t="str">
        <x:v>事前設定した標準単価×数量で記帳し、実際取得額との差異を分離。</x:v>
      </x:c>
      <x:c r="D13" s="13" t="str">
        <x:v>安定した製品原価、購買価格差異・原価差異管理。</x:v>
      </x:c>
      <x:c r="E13" s="13" t="str">
        <x:v>独立した第6の取得原価配分法と扱わない。差異配賦・財務在庫との整合が必要。</x:v>
      </x:c>
      <x:c r="F13" s="13" t="str">
        <x:v>S1・S2</x:v>
      </x:c>
      <x:c r="G13" s="2"/>
      <x:c r="H13" s="2"/>
    </x:row>
    <x:row r="14" ht="64" customHeight="1">
      <x:c r="A14" s="12" t="str">
        <x:v>ERP・管理単価</x:v>
      </x:c>
      <x:c r="B14" s="12" t="str">
        <x:v>予定単価／固定単価</x:v>
      </x:c>
      <x:c r="C14" s="12" t="str">
        <x:v>一定期間固定した予定単価で受払し、期末等に実際との差額を調整。</x:v>
      </x:c>
      <x:c r="D14" s="12" t="str">
        <x:v>早期締め、見込単価での運用。</x:v>
      </x:c>
      <x:c r="E14" s="12" t="str">
        <x:v>標準消費量に基づく標準原価と区別。差額の在庫・原価への処理を決める。</x:v>
      </x:c>
      <x:c r="F14" s="12" t="str">
        <x:v>S1・編集</x:v>
      </x:c>
      <x:c r="G14" s="2"/>
      <x:c r="H14" s="2"/>
    </x:row>
    <x:row r="15" ht="64" customHeight="1">
      <x:c r="A15" s="13" t="str">
        <x:v>歴史・他国制度</x:v>
      </x:c>
      <x:c r="B15" s="13" t="str">
        <x:v>後入先出法（LIFO）</x:v>
      </x:c>
      <x:c r="C15" s="13" t="str">
        <x:v>新しい取得分から払出し、古い取得原価が残ると仮定。</x:v>
      </x:c>
      <x:c r="D15" s="13" t="str">
        <x:v>価格上昇時に新しい費用を損益へ対応させる考え方。</x:v>
      </x:c>
      <x:c r="E15" s="13" t="str">
        <x:v>現在の日本基準・法人税の選択肢ではない。海外制度や旧資料との比較用。</x:v>
      </x:c>
      <x:c r="F15" s="13" t="str">
        <x:v>S2・S4</x:v>
      </x:c>
      <x:c r="G15" s="2"/>
      <x:c r="H15" s="2"/>
    </x:row>
    <x:row r="16" ht="64" customHeight="1">
      <x:c r="A16" s="12" t="str">
        <x:v>旧法・参考</x:v>
      </x:c>
      <x:c r="B16" s="12" t="str">
        <x:v>単純平均法</x:v>
      </x:c>
      <x:c r="C16" s="12" t="str">
        <x:v>数量を加重せず、取得単価を単純平均して用いる。</x:v>
      </x:c>
      <x:c r="D16" s="12" t="str">
        <x:v>計算が容易だが、取引数量の差を反映しない。</x:v>
      </x:c>
      <x:c r="E16" s="12" t="str">
        <x:v>現在の法人税の選択肢ではない。総平均法の加重平均と混同しない。</x:v>
      </x:c>
      <x:c r="F16" s="12" t="str">
        <x:v>S4</x:v>
      </x:c>
      <x:c r="G16" s="2"/>
      <x:c r="H16" s="2"/>
    </x:row>
    <x:row r="17" ht="64" customHeight="1">
      <x:c r="A17" s="13" t="str">
        <x:v>評価基準・後処理</x:v>
      </x:c>
      <x:c r="B17" s="13" t="str">
        <x:v>原価基準／収益性低下の簿価切下げ</x:v>
      </x:c>
      <x:c r="C17" s="13" t="str">
        <x:v>取得原価を算定後、必要に応じて正味売却価額まで切り下げる。</x:v>
      </x:c>
      <x:c r="D17" s="13" t="str">
        <x:v>売れ残り、値下がり、劣化の期末評価。</x:v>
      </x:c>
      <x:c r="E17" s="13" t="str">
        <x:v>FIFO等の原価配分とは別の軸。日本基準では通常販売目的の収益性低下を反映。</x:v>
      </x:c>
      <x:c r="F17" s="13" t="str">
        <x:v>S2</x:v>
      </x:c>
      <x:c r="G17" s="2"/>
      <x:c r="H17" s="2"/>
    </x:row>
    <x:row r="18" ht="64" customHeight="1">
      <x:c r="A18" s="12" t="str">
        <x:v>税務・評価基準</x:v>
      </x:c>
      <x:c r="B18" s="12" t="str">
        <x:v>低価法</x:v>
      </x:c>
      <x:c r="C18" s="12" t="str">
        <x:v>選定した原価法の評価額と、税務上の時価との低い方を評価額とする。</x:v>
      </x:c>
      <x:c r="D18" s="12" t="str">
        <x:v>税務の期末評価。原価法と組み合わせる。</x:v>
      </x:c>
      <x:c r="E18" s="12" t="str">
        <x:v>会計の正味売却価額と税務の時価を自動的に同一視しない。届出等の扱いを確認。</x:v>
      </x:c>
      <x:c r="F18" s="12" t="str">
        <x:v>S3</x:v>
      </x:c>
      <x:c r="G18" s="2"/>
      <x:c r="H18" s="2"/>
    </x:row>
    <x:row r="19" ht="64" customHeight="1">
      <x:c r="A19" s="13" t="str">
        <x:v>評価損の戻入</x:v>
      </x:c>
      <x:c r="B19" s="13" t="str">
        <x:v>洗替え法／切放し法</x:v>
      </x:c>
      <x:c r="C19" s="13" t="str">
        <x:v>翌期に前期の簿価切下額を戻す／戻さない方法。</x:v>
      </x:c>
      <x:c r="D19" s="13" t="str">
        <x:v>収益性低下の評価損の継続処理。</x:v>
      </x:c>
      <x:c r="E19" s="13" t="str">
        <x:v>在庫の単価計算方法ではない。種類等ごとに継続適用。</x:v>
      </x:c>
      <x:c r="F19" s="13" t="str">
        <x:v>S2</x:v>
      </x:c>
      <x:c r="G19" s="2"/>
      <x:c r="H19" s="2"/>
    </x:row>
    <x:row r="20" ht="64" customHeight="1">
      <x:c r="A20" s="12" t="str">
        <x:v>特殊な保有目的</x:v>
      </x:c>
      <x:c r="B20" s="12" t="str">
        <x:v>時価評価</x:v>
      </x:c>
      <x:c r="C20" s="12" t="str">
        <x:v>トレーディング目的の棚卸資産を時価で測定する。</x:v>
      </x:c>
      <x:c r="D20" s="12" t="str">
        <x:v>市場価格の変化による利益獲得を目的とする保有。</x:v>
      </x:c>
      <x:c r="E20" s="12" t="str">
        <x:v>通常の製造用材料在庫の評価法の選択肢として扱わない。</x:v>
      </x:c>
      <x:c r="F20" s="12" t="str">
        <x:v>S2</x:v>
      </x:c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</x:sheetData>
  <x:pageMargins left="0.7" right="0.7" top="0.75" bottom="0.75" header="0.3" footer="0.3"/>
  <x:tableParts count="1">
    <x:tablePart xmlns:r="http://schemas.openxmlformats.org/officeDocument/2006/relationships" r:id="R5e285923fa9a4abd"/>
  </x:tableParts>
</x:worksheet>
</file>

<file path=xl/worksheets/sheet5.xml><?xml version="1.0" encoding="utf-8"?>
<x:worksheet xmlns:x="http://schemas.openxmlformats.org/spreadsheetml/2006/main">
  <x:sheetPr>
    <x:tabColor rgb="FF3C608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46" hidden="0" customWidth="1"/>
    <x:col min="4" max="4" width="42" hidden="0" customWidth="1"/>
    <x:col min="5" max="5" width="42" hidden="0" customWidth="1"/>
    <x:col min="6" max="6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③ 製品原価の計算方法：軸・派生種類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6" t="str">
        <x:v>個別／総合 × 実際／標準 × 全部／部分を組み合わせ、工程・配賦の技法を追加する。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10" t="str">
        <x:v>分類軸</x:v>
      </x:c>
      <x:c r="B6" s="10" t="str">
        <x:v>方法・種類</x:v>
      </x:c>
      <x:c r="C6" s="10" t="str">
        <x:v>集計・計算のしくみ</x:v>
      </x:c>
      <x:c r="D6" s="10" t="str">
        <x:v>用途・例</x:v>
      </x:c>
      <x:c r="E6" s="10" t="str">
        <x:v>違い・留意点</x:v>
      </x:c>
      <x:c r="F6" s="10" t="str">
        <x:v>出典</x:v>
      </x:c>
      <x:c r="G6" s="2"/>
      <x:c r="H6" s="2"/>
    </x:row>
    <x:row r="7" ht="64" customHeight="1">
      <x:c r="A7" s="13" t="str">
        <x:v>製品別集計</x:v>
      </x:c>
      <x:c r="B7" s="13" t="str">
        <x:v>個別原価計算</x:v>
      </x:c>
      <x:c r="C7" s="13" t="str">
        <x:v>製造指図、製番、案件ごとに直接費と配賦間接費を集計。</x:v>
      </x:c>
      <x:c r="D7" s="13" t="str">
        <x:v>受注生産、金型、装置、工事。</x:v>
      </x:c>
      <x:c r="E7" s="13" t="str">
        <x:v>案件原価÷完成数量で単位原価。仕掛品は未完了指図で追跡。</x:v>
      </x:c>
      <x:c r="F7" s="13" t="str">
        <x:v>S1</x:v>
      </x:c>
      <x:c r="G7" s="2"/>
      <x:c r="H7" s="2"/>
    </x:row>
    <x:row r="8" ht="64" customHeight="1">
      <x:c r="A8" s="12" t="str">
        <x:v>個別の派生</x:v>
      </x:c>
      <x:c r="B8" s="12" t="str">
        <x:v>単純個別原価計算</x:v>
      </x:c>
      <x:c r="C8" s="12" t="str">
        <x:v>工場全体の間接費をまとめ、各指図へ配賦する方式。</x:v>
      </x:c>
      <x:c r="D8" s="12" t="str">
        <x:v>工程が簡単・部門差が小さい工場。</x:v>
      </x:c>
      <x:c r="E8" s="12" t="str">
        <x:v>製造間接費の配賦率を一つにまとめるため、製品の負荷差に注意。</x:v>
      </x:c>
      <x:c r="F8" s="12" t="str">
        <x:v>編集</x:v>
      </x:c>
      <x:c r="G8" s="2"/>
      <x:c r="H8" s="2"/>
    </x:row>
    <x:row r="9" ht="64" customHeight="1">
      <x:c r="A9" s="13" t="str">
        <x:v>個別の派生</x:v>
      </x:c>
      <x:c r="B9" s="13" t="str">
        <x:v>部門別個別原価計算</x:v>
      </x:c>
      <x:c r="C9" s="13" t="str">
        <x:v>間接費を部門ごとに集め、各部門の基準で指図へ配賦。</x:v>
      </x:c>
      <x:c r="D9" s="13" t="str">
        <x:v>異なる設備・工程を通る受注品。</x:v>
      </x:c>
      <x:c r="E9" s="13" t="str">
        <x:v>部門ごとに機械時間・工数などの適切な基準を選ぶ。</x:v>
      </x:c>
      <x:c r="F9" s="13" t="str">
        <x:v>S1・編集</x:v>
      </x:c>
      <x:c r="G9" s="2"/>
      <x:c r="H9" s="2"/>
    </x:row>
    <x:row r="10" ht="64" customHeight="1">
      <x:c r="A10" s="12" t="str">
        <x:v>製品別集計</x:v>
      </x:c>
      <x:c r="B10" s="12" t="str">
        <x:v>総合原価計算</x:v>
      </x:c>
      <x:c r="C10" s="12" t="str">
        <x:v>同種・類似品を期間単位でまとめ、完成品と仕掛品へ原価を配分。</x:v>
      </x:c>
      <x:c r="D10" s="12" t="str">
        <x:v>連続生産、量産部品、化学、食品等。</x:v>
      </x:c>
      <x:c r="E10" s="12" t="str">
        <x:v>完成数量だけでなく仕掛品の加工進捗も考える。</x:v>
      </x:c>
      <x:c r="F10" s="12" t="str">
        <x:v>S1</x:v>
      </x:c>
      <x:c r="G10" s="2"/>
      <x:c r="H10" s="2"/>
    </x:row>
    <x:row r="11" ht="64" customHeight="1">
      <x:c r="A11" s="13" t="str">
        <x:v>総合の派生</x:v>
      </x:c>
      <x:c r="B11" s="13" t="str">
        <x:v>単純総合原価計算</x:v>
      </x:c>
      <x:c r="C11" s="13" t="str">
        <x:v>同種製品の期間原価を一括集計し、完成品と仕掛品に分ける。</x:v>
      </x:c>
      <x:c r="D11" s="13" t="str">
        <x:v>単一・同質製品の連続生産。</x:v>
      </x:c>
      <x:c r="E11" s="13" t="str">
        <x:v>「単純」は単一工程限定を意味しない。工程別との組合せも可能。</x:v>
      </x:c>
      <x:c r="F11" s="13" t="str">
        <x:v>S1</x:v>
      </x:c>
      <x:c r="G11" s="2"/>
      <x:c r="H11" s="2"/>
    </x:row>
    <x:row r="12" ht="64" customHeight="1">
      <x:c r="A12" s="12" t="str">
        <x:v>総合の派生</x:v>
      </x:c>
      <x:c r="B12" s="12" t="str">
        <x:v>等級別総合原価計算</x:v>
      </x:c>
      <x:c r="C12" s="12" t="str">
        <x:v>サイズ・等級等が違う類似品の共通原価を、等価係数で配分。</x:v>
      </x:c>
      <x:c r="D12" s="12" t="str">
        <x:v>大中小の同種製品、厚みの異なる製品。</x:v>
      </x:c>
      <x:c r="E12" s="12" t="str">
        <x:v>数量×等価係数の積数で配分。係数の根拠を維持する。</x:v>
      </x:c>
      <x:c r="F12" s="12" t="str">
        <x:v>S1</x:v>
      </x:c>
      <x:c r="G12" s="2"/>
      <x:c r="H12" s="2"/>
    </x:row>
    <x:row r="13" ht="64" customHeight="1">
      <x:c r="A13" s="13" t="str">
        <x:v>総合の派生</x:v>
      </x:c>
      <x:c r="B13" s="13" t="str">
        <x:v>組別総合原価計算</x:v>
      </x:c>
      <x:c r="C13" s="13" t="str">
        <x:v>品種・組ごとに費用を集め、各組で総合原価計算する。</x:v>
      </x:c>
      <x:c r="D13" s="13" t="str">
        <x:v>同じ工場で複数種の製品を量産。</x:v>
      </x:c>
      <x:c r="E13" s="13" t="str">
        <x:v>組別直接費は追跡し、組間共通費は配賦する。等級別とは異なる。</x:v>
      </x:c>
      <x:c r="F13" s="13" t="str">
        <x:v>S1</x:v>
      </x:c>
      <x:c r="G13" s="2"/>
      <x:c r="H13" s="2"/>
    </x:row>
    <x:row r="14" ht="64" customHeight="1">
      <x:c r="A14" s="12" t="str">
        <x:v>工程の切り方</x:v>
      </x:c>
      <x:c r="B14" s="12" t="str">
        <x:v>工程別総合原価計算</x:v>
      </x:c>
      <x:c r="C14" s="12" t="str">
        <x:v>工程ごとに原価と換算量を計算して、工程間で引き継ぐ。</x:v>
      </x:c>
      <x:c r="D14" s="12" t="str">
        <x:v>混練、成形、加硫、組立など複数工程。</x:v>
      </x:c>
      <x:c r="E14" s="12" t="str">
        <x:v>前工程からの振替原価と当工程の追加原価を分ける。</x:v>
      </x:c>
      <x:c r="F14" s="12" t="str">
        <x:v>S1</x:v>
      </x:c>
      <x:c r="G14" s="2"/>
      <x:c r="H14" s="2"/>
    </x:row>
    <x:row r="15" ht="64" customHeight="1">
      <x:c r="A15" s="13" t="str">
        <x:v>工程別の方式</x:v>
      </x:c>
      <x:c r="B15" s="13" t="str">
        <x:v>累加法</x:v>
      </x:c>
      <x:c r="C15" s="13" t="str">
        <x:v>前工程までの原価を、順次後工程へ積み上げる。</x:v>
      </x:c>
      <x:c r="D15" s="13" t="str">
        <x:v>中間品・半製品の価額を工程ごとに把握。</x:v>
      </x:c>
      <x:c r="E15" s="13" t="str">
        <x:v>振替原価が後工程に累加される。</x:v>
      </x:c>
      <x:c r="F15" s="13" t="str">
        <x:v>S1</x:v>
      </x:c>
      <x:c r="G15" s="2"/>
      <x:c r="H15" s="2"/>
    </x:row>
    <x:row r="16" ht="64" customHeight="1">
      <x:c r="A16" s="12" t="str">
        <x:v>工程別の方式</x:v>
      </x:c>
      <x:c r="B16" s="12" t="str">
        <x:v>非累加法</x:v>
      </x:c>
      <x:c r="C16" s="12" t="str">
        <x:v>工程ごとの追加費用を別に計算し、完成品で各工程分をまとめる。</x:v>
      </x:c>
      <x:c r="D16" s="12" t="str">
        <x:v>工程費を分けて管理したい場合。</x:v>
      </x:c>
      <x:c r="E16" s="12" t="str">
        <x:v>工程間原価を順次振り替える累加法と区別。半製品の扱いを設計する。</x:v>
      </x:c>
      <x:c r="F16" s="12" t="str">
        <x:v>編集</x:v>
      </x:c>
      <x:c r="G16" s="2"/>
      <x:c r="H16" s="2"/>
    </x:row>
    <x:row r="17" ht="64" customHeight="1">
      <x:c r="A17" s="13" t="str">
        <x:v>仕掛品の配分</x:v>
      </x:c>
      <x:c r="B17" s="13" t="str">
        <x:v>平均法（加重平均法）</x:v>
      </x:c>
      <x:c r="C17" s="13" t="str">
        <x:v>期首仕掛品と当期費用・作業量をまとめ、完成品換算量で平均化。</x:v>
      </x:c>
      <x:c r="D17" s="13" t="str">
        <x:v>期首分を分けない簡潔な工程計算。</x:v>
      </x:c>
      <x:c r="E17" s="13" t="str">
        <x:v>材料と加工費の換算量は別々。②の材料総平均とは適用対象が違う。</x:v>
      </x:c>
      <x:c r="F17" s="13" t="str">
        <x:v>S1</x:v>
      </x:c>
      <x:c r="G17" s="2"/>
      <x:c r="H17" s="2"/>
    </x:row>
    <x:row r="18" ht="64" customHeight="1">
      <x:c r="A18" s="12" t="str">
        <x:v>仕掛品の配分</x:v>
      </x:c>
      <x:c r="B18" s="12" t="str">
        <x:v>先入先出法（工程計算）</x:v>
      </x:c>
      <x:c r="C18" s="12" t="str">
        <x:v>期首仕掛品の前期原価と、当期に追加した作業・費用を分ける。</x:v>
      </x:c>
      <x:c r="D18" s="12" t="str">
        <x:v>当期の能率を期首原価と分けて測定。</x:v>
      </x:c>
      <x:c r="E18" s="12" t="str">
        <x:v>②の倉庫FIFOとは別の計算。期首残を完成させる当期作業量を把握。</x:v>
      </x:c>
      <x:c r="F18" s="12" t="str">
        <x:v>S1</x:v>
      </x:c>
      <x:c r="G18" s="2"/>
      <x:c r="H18" s="2"/>
    </x:row>
    <x:row r="19" ht="64" customHeight="1">
      <x:c r="A19" s="13" t="str">
        <x:v>仕掛品の配分・参考</x:v>
      </x:c>
      <x:c r="B19" s="13" t="str">
        <x:v>後入先出法（旧資料）</x:v>
      </x:c>
      <x:c r="C19" s="13" t="str">
        <x:v>当期投入分から先に完成したとみなす旧来の方式。</x:v>
      </x:c>
      <x:c r="D19" s="13" t="str">
        <x:v>古い原価計算基準の記載を読むための比較。</x:v>
      </x:c>
      <x:c r="E19" s="13" t="str">
        <x:v>現行の棚卸資産会計基準が優先し、財務在庫の選択肢にはしない。</x:v>
      </x:c>
      <x:c r="F19" s="13" t="str">
        <x:v>S1・S2</x:v>
      </x:c>
      <x:c r="G19" s="2"/>
      <x:c r="H19" s="2"/>
    </x:row>
    <x:row r="20" ht="64" customHeight="1">
      <x:c r="A20" s="12" t="str">
        <x:v>仕掛品の簡便方式</x:v>
      </x:c>
      <x:c r="B20" s="12" t="str">
        <x:v>修正FIFO／簡便法</x:v>
      </x:c>
      <x:c r="C20" s="12" t="str">
        <x:v>期首仕掛品を先に完成品へ割り当てる等の、実務上の簡略化。</x:v>
      </x:c>
      <x:c r="D20" s="12" t="str">
        <x:v>データ制約下の月次処理。</x:v>
      </x:c>
      <x:c r="E20" s="12" t="str">
        <x:v>名称や処理は一定しない。厳密FIFOの当期換算量と一致するか確認。</x:v>
      </x:c>
      <x:c r="F20" s="12" t="str">
        <x:v>編集</x:v>
      </x:c>
      <x:c r="G20" s="2"/>
      <x:c r="H20" s="2"/>
    </x:row>
    <x:row r="21" ht="64" customHeight="1">
      <x:c r="A21" s="13" t="str">
        <x:v>連産・副産物</x:v>
      </x:c>
      <x:c r="B21" s="13" t="str">
        <x:v>連産品原価計算</x:v>
      </x:c>
      <x:c r="C21" s="13" t="str">
        <x:v>同一工程から同時に生じる製品へ分離点までの結合原価を配分。</x:v>
      </x:c>
      <x:c r="D21" s="13" t="str">
        <x:v>石油精製、食肉など。</x:v>
      </x:c>
      <x:c r="E21" s="13" t="str">
        <x:v>分離後の加工費は各製品へ直接集計。結合費配分だけで追加加工を判断しない。</x:v>
      </x:c>
      <x:c r="F21" s="13" t="str">
        <x:v>S1</x:v>
      </x:c>
      <x:c r="G21" s="2"/>
      <x:c r="H21" s="2"/>
    </x:row>
    <x:row r="22" ht="64" customHeight="1">
      <x:c r="A22" s="12" t="str">
        <x:v>連産品の配分</x:v>
      </x:c>
      <x:c r="B22" s="12" t="str">
        <x:v>物量基準／等価係数基準</x:v>
      </x:c>
      <x:c r="C22" s="12" t="str">
        <x:v>重量・数量等、または換算数量に応じて結合原価を配分。</x:v>
      </x:c>
      <x:c r="D22" s="12" t="str">
        <x:v>販売価値以外の共通尺度が使える場合。</x:v>
      </x:c>
      <x:c r="E22" s="12" t="str">
        <x:v>異質な製品では重量のみの配分が採算を歪める場合がある。</x:v>
      </x:c>
      <x:c r="F22" s="12" t="str">
        <x:v>S1・編集</x:v>
      </x:c>
      <x:c r="G22" s="2"/>
      <x:c r="H22" s="2"/>
    </x:row>
    <x:row r="23" ht="64" customHeight="1">
      <x:c r="A23" s="13" t="str">
        <x:v>連産品の配分</x:v>
      </x:c>
      <x:c r="B23" s="13" t="str">
        <x:v>販売価値基準／正味実現価額基準</x:v>
      </x:c>
      <x:c r="C23" s="13" t="str">
        <x:v>分離点の売価、または最終売価から分離後費用を引いた価値で配分。</x:v>
      </x:c>
      <x:c r="D23" s="13" t="str">
        <x:v>製品価値に応じて結合費を割り当てる。</x:v>
      </x:c>
      <x:c r="E23" s="13" t="str">
        <x:v>売価情報、分離後の加工費・販売費の範囲を定義。</x:v>
      </x:c>
      <x:c r="F23" s="13" t="str">
        <x:v>S1・編集</x:v>
      </x:c>
      <x:c r="G23" s="2"/>
      <x:c r="H23" s="2"/>
    </x:row>
    <x:row r="24" ht="64" customHeight="1">
      <x:c r="A24" s="12" t="str">
        <x:v>副産物の処理</x:v>
      </x:c>
      <x:c r="B24" s="12" t="str">
        <x:v>副産物・作業くずの評価控除</x:v>
      </x:c>
      <x:c r="C24" s="12" t="str">
        <x:v>副次的に得られる物の評価額を主製品の原価から控除する等。</x:v>
      </x:c>
      <x:c r="D24" s="12" t="str">
        <x:v>端材、スクラップ、副産物の回収。</x:v>
      </x:c>
      <x:c r="E24" s="12" t="str">
        <x:v>連産品との区分や評価方法を定め、回収額を二重控除しない。</x:v>
      </x:c>
      <x:c r="F24" s="12" t="str">
        <x:v>S1</x:v>
      </x:c>
      <x:c r="G24" s="2"/>
      <x:c r="H24" s="2"/>
    </x:row>
    <x:row r="25" ht="64" customHeight="1">
      <x:c r="A25" s="13" t="str">
        <x:v>数量・価格の基準</x:v>
      </x:c>
      <x:c r="B25" s="13" t="str">
        <x:v>実際原価計算</x:v>
      </x:c>
      <x:c r="C25" s="13" t="str">
        <x:v>実際消費量・実際工数を基礎に集計し、必要に応じて予定価格等を使う。</x:v>
      </x:c>
      <x:c r="D25" s="13" t="str">
        <x:v>実績採算・月次決算。</x:v>
      </x:c>
      <x:c r="E25" s="13" t="str">
        <x:v>予定単価や予定配賦が含まれても実際原価計算の場合がある。</x:v>
      </x:c>
      <x:c r="F25" s="13" t="str">
        <x:v>S1</x:v>
      </x:c>
      <x:c r="G25" s="2"/>
      <x:c r="H25" s="2"/>
    </x:row>
    <x:row r="26" ht="64" customHeight="1">
      <x:c r="A26" s="12" t="str">
        <x:v>数量・価格の基準</x:v>
      </x:c>
      <x:c r="B26" s="12" t="str">
        <x:v>標準原価計算</x:v>
      </x:c>
      <x:c r="C26" s="12" t="str">
        <x:v>実際生産量に対応する標準原価を記帳し、実際額との原価差異を分析。</x:v>
      </x:c>
      <x:c r="D26" s="12" t="str">
        <x:v>量産品の価格・数量・能率・操業度差異。</x:v>
      </x:c>
      <x:c r="E26" s="12" t="str">
        <x:v>標準改訂、差異の処理、在庫への配賦を決める。個別・総合どちらにも組合せ可能。</x:v>
      </x:c>
      <x:c r="F26" s="12" t="str">
        <x:v>S1</x:v>
      </x:c>
      <x:c r="G26" s="2"/>
      <x:c r="H26" s="2"/>
    </x:row>
    <x:row r="27" ht="64" customHeight="1">
      <x:c r="A27" s="13" t="str">
        <x:v>配賦率・管理</x:v>
      </x:c>
      <x:c r="B27" s="13" t="str">
        <x:v>予定配賦／正常原価計算（normal costing）</x:v>
      </x:c>
      <x:c r="C27" s="13" t="str">
        <x:v>直接費は実際、間接費は予定配賦率×実際配賦基準量で計算する方式。</x:v>
      </x:c>
      <x:c r="D27" s="13" t="str">
        <x:v>月次に間接費を早期計算。</x:v>
      </x:c>
      <x:c r="E27" s="13" t="str">
        <x:v>海外のnormal costingの代表的意味。①の長期標準の正常原価とは区別する。</x:v>
      </x:c>
      <x:c r="F27" s="13" t="str">
        <x:v>編集</x:v>
      </x:c>
      <x:c r="G27" s="2"/>
      <x:c r="H27" s="2"/>
    </x:row>
    <x:row r="28" ht="64" customHeight="1">
      <x:c r="A28" s="12" t="str">
        <x:v>算入範囲</x:v>
      </x:c>
      <x:c r="B28" s="12" t="str">
        <x:v>全部原価計算（吸収原価計算）</x:v>
      </x:c>
      <x:c r="C28" s="12" t="str">
        <x:v>変動製造費・固定製造費を製品へ集計する。</x:v>
      </x:c>
      <x:c r="D28" s="12" t="str">
        <x:v>財務在庫評価、製造原価の把握。</x:v>
      </x:c>
      <x:c r="E28" s="12" t="str">
        <x:v>固定製造費の一部が在庫へ残るため、在庫変動で利益も変わる。</x:v>
      </x:c>
      <x:c r="F28" s="12" t="str">
        <x:v>S1・編集</x:v>
      </x:c>
      <x:c r="G28" s="2"/>
      <x:c r="H28" s="2"/>
    </x:row>
    <x:row r="29" ht="64" customHeight="1">
      <x:c r="A29" s="13" t="str">
        <x:v>算入範囲</x:v>
      </x:c>
      <x:c r="B29" s="13" t="str">
        <x:v>部分原価計算</x:v>
      </x:c>
      <x:c r="C29" s="13" t="str">
        <x:v>分析目的に応じた費用だけを原価へ含める。</x:v>
      </x:c>
      <x:c r="D29" s="13" t="str">
        <x:v>意思決定、限界利益、短期採算。</x:v>
      </x:c>
      <x:c r="E29" s="13" t="str">
        <x:v>直接原価計算を含む上位概念。何を含めたか明示する。</x:v>
      </x:c>
      <x:c r="F29" s="13" t="str">
        <x:v>S1</x:v>
      </x:c>
      <x:c r="G29" s="2"/>
      <x:c r="H29" s="2"/>
    </x:row>
    <x:row r="30" ht="64" customHeight="1">
      <x:c r="A30" s="12" t="str">
        <x:v>部分の代表</x:v>
      </x:c>
      <x:c r="B30" s="12" t="str">
        <x:v>直接原価計算（変動原価計算）</x:v>
      </x:c>
      <x:c r="C30" s="12" t="str">
        <x:v>変動原価を製品へ集め、固定製造費は期間費用にする。</x:v>
      </x:c>
      <x:c r="D30" s="12" t="str">
        <x:v>損益分岐点、短期製品構成・追加受注判断。</x:v>
      </x:c>
      <x:c r="E30" s="12" t="str">
        <x:v>直接費のみの集計ではない。財務在庫へは全部原価への調整が必要。</x:v>
      </x:c>
      <x:c r="F30" s="12" t="str">
        <x:v>S1・編集</x:v>
      </x:c>
      <x:c r="G30" s="2"/>
      <x:c r="H30" s="2"/>
    </x:row>
    <x:row r="31" ht="64" customHeight="1">
      <x:c r="A31" s="13" t="str">
        <x:v>間接費の集計</x:v>
      </x:c>
      <x:c r="B31" s="13" t="str">
        <x:v>部門別原価計算</x:v>
      </x:c>
      <x:c r="C31" s="13" t="str">
        <x:v>製造部門・補助部門へ原価を集め、補助部門費を製造部門等へ配賦する。</x:v>
      </x:c>
      <x:c r="D31" s="13" t="str">
        <x:v>工程・部門ごとの責任管理。</x:v>
      </x:c>
      <x:c r="E31" s="13" t="str">
        <x:v>製品別計算の前段階。個別原価計算等と排他的ではない。</x:v>
      </x:c>
      <x:c r="F31" s="13" t="str">
        <x:v>S1</x:v>
      </x:c>
      <x:c r="G31" s="2"/>
      <x:c r="H31" s="2"/>
    </x:row>
    <x:row r="32" ht="64" customHeight="1">
      <x:c r="A32" s="12" t="str">
        <x:v>補助部門配賦</x:v>
      </x:c>
      <x:c r="B32" s="12" t="str">
        <x:v>直接配賦法</x:v>
      </x:c>
      <x:c r="C32" s="12" t="str">
        <x:v>補助部門間のサービスを考慮せず、製造部門へ配賦。</x:v>
      </x:c>
      <x:c r="D32" s="12" t="str">
        <x:v>相互サービスが小さい場合。</x:v>
      </x:c>
      <x:c r="E32" s="12" t="str">
        <x:v>簡単だが補助部門同士の利用を反映しない。</x:v>
      </x:c>
      <x:c r="F32" s="12" t="str">
        <x:v>S1</x:v>
      </x:c>
      <x:c r="G32" s="2"/>
      <x:c r="H32" s="2"/>
    </x:row>
    <x:row r="33" ht="64" customHeight="1">
      <x:c r="A33" s="13" t="str">
        <x:v>補助部門配賦</x:v>
      </x:c>
      <x:c r="B33" s="13" t="str">
        <x:v>階梯式配賦法</x:v>
      </x:c>
      <x:c r="C33" s="13" t="str">
        <x:v>配賦順序を決め、後順位の部門へのサービスを順次配賦。</x:v>
      </x:c>
      <x:c r="D33" s="13" t="str">
        <x:v>相互サービスを部分的に反映。</x:v>
      </x:c>
      <x:c r="E33" s="13" t="str">
        <x:v>先順位への逆配賦を行わない。順序で結果が変わる。</x:v>
      </x:c>
      <x:c r="F33" s="13" t="str">
        <x:v>編集</x:v>
      </x:c>
      <x:c r="G33" s="2"/>
      <x:c r="H33" s="2"/>
    </x:row>
    <x:row r="34" ht="64" customHeight="1">
      <x:c r="A34" s="12" t="str">
        <x:v>補助部門配賦</x:v>
      </x:c>
      <x:c r="B34" s="12" t="str">
        <x:v>相互配賦法</x:v>
      </x:c>
      <x:c r="C34" s="12" t="str">
        <x:v>補助部門間のサービスを相互に反映して配賦。</x:v>
      </x:c>
      <x:c r="D34" s="12" t="str">
        <x:v>補助部門同士の利用が大きい場合。</x:v>
      </x:c>
      <x:c r="E34" s="12" t="str">
        <x:v>連立方程式法・反復法などの実装方式がある。</x:v>
      </x:c>
      <x:c r="F34" s="12" t="str">
        <x:v>S1・編集</x:v>
      </x:c>
      <x:c r="G34" s="2"/>
      <x:c r="H34" s="2"/>
    </x:row>
    <x:row r="35" ht="64" customHeight="1">
      <x:c r="A35" s="13" t="str">
        <x:v>配賦率の設計</x:v>
      </x:c>
      <x:c r="B35" s="13" t="str">
        <x:v>単一基準／複数基準配賦</x:v>
      </x:c>
      <x:c r="C35" s="13" t="str">
        <x:v>同じ基準で全体を配賦／固定・変動などに分け異なる基準で配賦。</x:v>
      </x:c>
      <x:c r="D35" s="13" t="str">
        <x:v>固定費は能力、変動費は利用実績等で配賦。</x:v>
      </x:c>
      <x:c r="E35" s="13" t="str">
        <x:v>直接・相互などの部門配賦手順とは別の軸。</x:v>
      </x:c>
      <x:c r="F35" s="13" t="str">
        <x:v>編集</x:v>
      </x:c>
      <x:c r="G35" s="2"/>
      <x:c r="H35" s="2"/>
    </x:row>
    <x:row r="36" ht="64" customHeight="1">
      <x:c r="A36" s="12" t="str">
        <x:v>活動別の配賦</x:v>
      </x:c>
      <x:c r="B36" s="12" t="str">
        <x:v>ABC（活動基準原価計算）</x:v>
      </x:c>
      <x:c r="C36" s="12" t="str">
        <x:v>段取・検査等の活動へ集めた費用を、回数などのドライバーで製品へ配賦。</x:v>
      </x:c>
      <x:c r="D36" s="12" t="str">
        <x:v>多品種で間接作業の負荷が異なる工場。</x:v>
      </x:c>
      <x:c r="E36" s="12" t="str">
        <x:v>時間だけの配賦より負荷を反映しやすい。活動データの維持が必要。</x:v>
      </x:c>
      <x:c r="F36" s="12" t="str">
        <x:v>編集</x:v>
      </x:c>
      <x:c r="G36" s="2"/>
      <x:c r="H36" s="2"/>
    </x:row>
    <x:row r="37" ht="64" customHeight="1">
      <x:c r="A37" s="13" t="str">
        <x:v>活動別の派生</x:v>
      </x:c>
      <x:c r="B37" s="13" t="str">
        <x:v>TDABC（時間主導型ABC）</x:v>
      </x:c>
      <x:c r="C37" s="13" t="str">
        <x:v>資源の能力原価率×活動に必要な時間で原価を割り当てる。</x:v>
      </x:c>
      <x:c r="D37" s="13" t="str">
        <x:v>時間見積と実用能力が把握できる業務。</x:v>
      </x:c>
      <x:c r="E37" s="13" t="str">
        <x:v>能力原価率と未利用能力費の扱いを決める。</x:v>
      </x:c>
      <x:c r="F37" s="13" t="str">
        <x:v>編集</x:v>
      </x:c>
      <x:c r="G37" s="2"/>
      <x:c r="H37" s="2"/>
    </x:row>
    <x:row r="38" ht="64" customHeight="1">
      <x:c r="A38" s="12" t="str">
        <x:v>実務の混合方式</x:v>
      </x:c>
      <x:c r="B38" s="12" t="str">
        <x:v>オペレーション原価計算</x:v>
      </x:c>
      <x:c r="C38" s="12" t="str">
        <x:v>材料はロット等へ直接追跡し、加工費は共通作業で平均化する混合方式。</x:v>
      </x:c>
      <x:c r="D38" s="12" t="str">
        <x:v>材料仕様が異なり、加工が共通の製品群。</x:v>
      </x:c>
      <x:c r="E38" s="12" t="str">
        <x:v>個別と総合を組み合わせる。ERPでは別名称の場合がある。</x:v>
      </x:c>
      <x:c r="F38" s="12" t="str">
        <x:v>編集</x:v>
      </x:c>
      <x:c r="G38" s="2"/>
      <x:c r="H38" s="2"/>
    </x:row>
    <x:row r="39" ht="64" customHeight="1">
      <x:c r="A39" s="13" t="str">
        <x:v>会計処理の簡素化</x:v>
      </x:c>
      <x:c r="B39" s="13" t="str">
        <x:v>バックフラッシュ原価計算</x:v>
      </x:c>
      <x:c r="C39" s="13" t="str">
        <x:v>完成等の時点から標準使用量を遡って材料・加工費を記帳する。</x:v>
      </x:c>
      <x:c r="D39" s="13" t="str">
        <x:v>仕掛・在庫が少ないJIT生産等。</x:v>
      </x:c>
      <x:c r="E39" s="13" t="str">
        <x:v>独立した原価配分方法ではない。実績差異・棚卸との整合が必要。</x:v>
      </x:c>
      <x:c r="F39" s="13" t="str">
        <x:v>編集</x:v>
      </x:c>
      <x:c r="G39" s="2"/>
      <x:c r="H39" s="2"/>
    </x:row>
    <x:row r="40" ht="64" customHeight="1">
      <x:c r="A40" s="12" t="str">
        <x:v>制約の管理</x:v>
      </x:c>
      <x:c r="B40" s="12" t="str">
        <x:v>スループット会計</x:v>
      </x:c>
      <x:c r="C40" s="12" t="str">
        <x:v>売上から主に直接材料等の真に変動する費用を控除し、制約資源の効率を見る。</x:v>
      </x:c>
      <x:c r="D40" s="12" t="str">
        <x:v>ボトルネックの製品構成判断。</x:v>
      </x:c>
      <x:c r="E40" s="12" t="str">
        <x:v>変動費の定義は直接原価計算と同一ではない。財務在庫評価とは別。</x:v>
      </x:c>
      <x:c r="F40" s="12" t="str">
        <x:v>編集</x:v>
      </x:c>
      <x:c r="G40" s="2"/>
      <x:c r="H40" s="2"/>
    </x:row>
    <x:row r="41" ht="64" customHeight="1">
      <x:c r="A41" s="13" t="str">
        <x:v>企画・改善・参考</x:v>
      </x:c>
      <x:c r="B41" s="13" t="str">
        <x:v>原価企画／原価改善／ライフサイクル管理</x:v>
      </x:c>
      <x:c r="C41" s="13" t="str">
        <x:v>目標原価の達成、継続的削減、製品生涯の費用を管理する。</x:v>
      </x:c>
      <x:c r="D41" s="13" t="str">
        <x:v>設計段階から量産・保守までの改善。</x:v>
      </x:c>
      <x:c r="E41" s="13" t="str">
        <x:v>製品原価の集計方式そのものではなく、原価管理のアプローチ。</x:v>
      </x:c>
      <x:c r="F41" s="13" t="str">
        <x:v>編集</x:v>
      </x:c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</x:sheetData>
  <x:pageMargins left="0.7" right="0.7" top="0.75" bottom="0.75" header="0.3" footer="0.3"/>
  <x:tableParts count="1">
    <x:tablePart xmlns:r="http://schemas.openxmlformats.org/officeDocument/2006/relationships" r:id="R3adf20c99e0e4eaa"/>
  </x:tableParts>
</x:worksheet>
</file>

<file path=xl/worksheets/sheet6.xml><?xml version="1.0" encoding="utf-8"?>
<x:worksheet xmlns:x="http://schemas.openxmlformats.org/spreadsheetml/2006/main">
  <x:sheetPr>
    <x:tabColor rgb="FF3C608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19" hidden="0" customWidth="1"/>
    <x:col min="4" max="4" width="21" hidden="0" customWidth="1"/>
    <x:col min="5" max="5" width="24" hidden="0" customWidth="1"/>
    <x:col min="6" max="6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在庫計算例：同じ入出庫でも評価が変わる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黄色が入力。材料の入出庫例。付随費用・端数丸め・期首以外の在庫は省略。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40" customHeight="1">
      <x:c r="A6" s="23" t="str">
        <x:v>順番・取引</x:v>
      </x:c>
      <x:c r="B6" s="23" t="str">
        <x:v>受入数量（個）</x:v>
      </x:c>
      <x:c r="C6" s="23" t="str">
        <x:v>単価（円／個）</x:v>
      </x:c>
      <x:c r="D6" s="23" t="str">
        <x:v>払出数量（個）</x:v>
      </x:c>
      <x:c r="E6" s="23" t="str">
        <x:v>受入原価（円）</x:v>
      </x:c>
      <x:c r="F6" s="23" t="str">
        <x:v>説明</x:v>
      </x:c>
      <x:c r="G6" s="2"/>
      <x:c r="H6" s="2"/>
    </x:row>
    <x:row r="7" ht="40" customHeight="1">
      <x:c r="A7" s="16" t="str">
        <x:v>期首</x:v>
      </x:c>
      <x:c r="B7" s="20" t="n">
        <x:v>10</x:v>
      </x:c>
      <x:c r="C7" s="20" t="n">
        <x:v>100</x:v>
      </x:c>
      <x:c r="D7" s="20" t="n">
        <x:v>0</x:v>
      </x:c>
      <x:c r="E7" s="18" t="n">
        <x:f>B7*C7</x:f>
        <x:v>1000</x:v>
      </x:c>
      <x:c r="F7" s="16" t="str">
        <x:v>前期から持ち越した在庫</x:v>
      </x:c>
      <x:c r="G7" s="2"/>
      <x:c r="H7" s="2"/>
    </x:row>
    <x:row r="8" ht="40" customHeight="1">
      <x:c r="A8" s="16" t="str">
        <x:v>入荷1</x:v>
      </x:c>
      <x:c r="B8" s="20" t="n">
        <x:v>10</x:v>
      </x:c>
      <x:c r="C8" s="20" t="n">
        <x:v>120</x:v>
      </x:c>
      <x:c r="D8" s="20" t="n">
        <x:v>0</x:v>
      </x:c>
      <x:c r="E8" s="18" t="n">
        <x:f>B8*C8</x:f>
        <x:v>1200</x:v>
      </x:c>
      <x:c r="F8" s="16" t="str">
        <x:v>払出1の前に受入</x:v>
      </x:c>
      <x:c r="G8" s="2"/>
      <x:c r="H8" s="2"/>
    </x:row>
    <x:row r="9" ht="40" customHeight="1">
      <x:c r="A9" s="16" t="str">
        <x:v>払出1</x:v>
      </x:c>
      <x:c r="B9" s="20" t="n">
        <x:v>0</x:v>
      </x:c>
      <x:c r="C9" s="20" t="n">
        <x:v>0</x:v>
      </x:c>
      <x:c r="D9" s="20" t="n">
        <x:v>12</x:v>
      </x:c>
      <x:c r="E9" s="20" t="n">
        <x:v>0</x:v>
      </x:c>
      <x:c r="F9" s="16" t="str">
        <x:v>ここで12個を使用</x:v>
      </x:c>
      <x:c r="G9" s="2"/>
      <x:c r="H9" s="2"/>
    </x:row>
    <x:row r="10" ht="40" customHeight="1">
      <x:c r="A10" s="16" t="str">
        <x:v>入荷2</x:v>
      </x:c>
      <x:c r="B10" s="20" t="n">
        <x:v>10</x:v>
      </x:c>
      <x:c r="C10" s="20" t="n">
        <x:v>150</x:v>
      </x:c>
      <x:c r="D10" s="20" t="n">
        <x:v>0</x:v>
      </x:c>
      <x:c r="E10" s="18" t="n">
        <x:f>B10*C10</x:f>
        <x:v>1500</x:v>
      </x:c>
      <x:c r="F10" s="16" t="str">
        <x:v>払出1の後に受入</x:v>
      </x:c>
      <x:c r="G10" s="2"/>
      <x:c r="H10" s="2"/>
    </x:row>
    <x:row r="11" ht="40" customHeight="1">
      <x:c r="A11" s="16" t="str">
        <x:v>払出2</x:v>
      </x:c>
      <x:c r="B11" s="20" t="n">
        <x:v>0</x:v>
      </x:c>
      <x:c r="C11" s="20" t="n">
        <x:v>0</x:v>
      </x:c>
      <x:c r="D11" s="20" t="n">
        <x:v>8</x:v>
      </x:c>
      <x:c r="E11" s="20" t="n">
        <x:v>0</x:v>
      </x:c>
      <x:c r="F11" s="16" t="str">
        <x:v>さらに8個を使用</x:v>
      </x:c>
      <x:c r="G11" s="2"/>
      <x:c r="H11" s="2"/>
    </x:row>
    <x:row r="12" ht="40" customHeight="1">
      <x:c r="A12" s="16"/>
      <x:c r="B12" s="18"/>
      <x:c r="C12" s="18"/>
      <x:c r="D12" s="18"/>
      <x:c r="E12" s="18"/>
      <x:c r="F12" s="16"/>
      <x:c r="G12" s="2"/>
      <x:c r="H12" s="2"/>
    </x:row>
    <x:row r="13" ht="40" customHeight="1">
      <x:c r="A13" s="16" t="str">
        <x:v>数量・金額の合計</x:v>
      </x:c>
      <x:c r="B13" s="18" t="n">
        <x:f>SUM(B7:B11)</x:f>
        <x:v>30</x:v>
      </x:c>
      <x:c r="C13" s="18"/>
      <x:c r="D13" s="18" t="n">
        <x:f>SUM(D7:D11)</x:f>
        <x:v>20</x:v>
      </x:c>
      <x:c r="E13" s="18" t="n">
        <x:f>SUM(E7:E11)</x:f>
        <x:v>3700</x:v>
      </x:c>
      <x:c r="F13" s="16"/>
      <x:c r="G13" s="2"/>
      <x:c r="H13" s="2"/>
    </x:row>
    <x:row r="14" ht="40" customHeight="1">
      <x:c r="A14" s="16" t="str">
        <x:v>期末数量</x:v>
      </x:c>
      <x:c r="B14" s="18" t="n">
        <x:f>B13-D13</x:f>
        <x:v>10</x:v>
      </x:c>
      <x:c r="C14" s="18"/>
      <x:c r="D14" s="18"/>
      <x:c r="E14" s="18"/>
      <x:c r="F14" s="16"/>
      <x:c r="G14" s="2"/>
      <x:c r="H14" s="2"/>
    </x:row>
    <x:row r="15" ht="40" customHeight="1">
      <x:c r="A15" s="16"/>
      <x:c r="B15" s="18"/>
      <x:c r="C15" s="18"/>
      <x:c r="D15" s="18"/>
      <x:c r="E15" s="18"/>
      <x:c r="F15" s="16"/>
      <x:c r="G15" s="2"/>
      <x:c r="H15" s="2"/>
    </x:row>
    <x:row r="16" ht="40" customHeight="1">
      <x:c r="A16" s="16"/>
      <x:c r="B16" s="18"/>
      <x:c r="C16" s="18"/>
      <x:c r="D16" s="18"/>
      <x:c r="E16" s="18"/>
      <x:c r="F16" s="16"/>
      <x:c r="G16" s="2"/>
      <x:c r="H16" s="2"/>
    </x:row>
    <x:row r="17" ht="40" customHeight="1">
      <x:c r="A17" s="23" t="str">
        <x:v>方法</x:v>
      </x:c>
      <x:c r="B17" s="26" t="str">
        <x:v>払出1（円）</x:v>
      </x:c>
      <x:c r="C17" s="26" t="str">
        <x:v>払出2（円）</x:v>
      </x:c>
      <x:c r="D17" s="26" t="str">
        <x:v>払出計（円）</x:v>
      </x:c>
      <x:c r="E17" s="26" t="str">
        <x:v>期末在庫（円）</x:v>
      </x:c>
      <x:c r="F17" s="23" t="str">
        <x:v>算定・前提</x:v>
      </x:c>
      <x:c r="G17" s="2"/>
      <x:c r="H17" s="2"/>
    </x:row>
    <x:row r="18" ht="88" customHeight="1">
      <x:c r="A18" s="16" t="str">
        <x:v>FIFO</x:v>
      </x:c>
      <x:c r="B18" s="18" t="n">
        <x:f>MIN(D9,B7)*C7+MAX(D9-B7,0)*C8</x:f>
        <x:v>1240</x:v>
      </x:c>
      <x:c r="C18" s="18" t="n">
        <x:f>MIN(D11,B7+B8-D9)*C8+MAX(D11-(B7+B8-D9),0)*C10</x:f>
        <x:v>960</x:v>
      </x:c>
      <x:c r="D18" s="18" t="n">
        <x:f>SUM(B18:C18)</x:f>
        <x:v>2200</x:v>
      </x:c>
      <x:c r="E18" s="18" t="n">
        <x:f>E13-D18</x:f>
        <x:v>1500</x:v>
      </x:c>
      <x:c r="F18" s="16" t="str">
        <x:v>古い単価層から払出す。例の数量は払出1が期首以上、払出2が残る入荷1以上の範囲。</x:v>
      </x:c>
      <x:c r="G18" s="2"/>
      <x:c r="H18" s="2"/>
    </x:row>
    <x:row r="19" ht="88" customHeight="1">
      <x:c r="A19" s="16" t="str">
        <x:v>移動平均</x:v>
      </x:c>
      <x:c r="B19" s="18" t="n">
        <x:f>D9*B27</x:f>
        <x:v>1320</x:v>
      </x:c>
      <x:c r="C19" s="18" t="n">
        <x:f>D11*B29</x:f>
        <x:v>1057.7777777777778</x:v>
      </x:c>
      <x:c r="D19" s="18" t="n">
        <x:f>SUM(B19:C19)</x:f>
        <x:v>2377.777777777778</x:v>
      </x:c>
      <x:c r="E19" s="18" t="n">
        <x:f>E13-D19</x:f>
        <x:v>1322.2222222222222</x:v>
      </x:c>
      <x:c r="F19" s="16" t="str">
        <x:v>受入ごとに再平均。入荷2の直前残高を使う。</x:v>
      </x:c>
      <x:c r="G19" s="2"/>
      <x:c r="H19" s="2"/>
    </x:row>
    <x:row r="20" ht="88" customHeight="1">
      <x:c r="A20" s="16" t="str">
        <x:v>総平均</x:v>
      </x:c>
      <x:c r="B20" s="18" t="n">
        <x:f>D9*B31</x:f>
        <x:v>1480</x:v>
      </x:c>
      <x:c r="C20" s="18" t="n">
        <x:f>D11*B31</x:f>
        <x:v>986.6666666666666</x:v>
      </x:c>
      <x:c r="D20" s="18" t="n">
        <x:f>SUM(B20:C20)</x:f>
        <x:v>2466.6666666666665</x:v>
      </x:c>
      <x:c r="E20" s="18" t="n">
        <x:f>B14*B31</x:f>
        <x:v>1233.3333333333333</x:v>
      </x:c>
      <x:c r="F20" s="16" t="str">
        <x:v>期首＋期間入荷の加重平均を全払出に使う。</x:v>
      </x:c>
      <x:c r="G20" s="2"/>
      <x:c r="H20" s="2"/>
    </x:row>
    <x:row r="21" ht="88" customHeight="1">
      <x:c r="A21" s="16" t="str">
        <x:v>最終仕入原価</x:v>
      </x:c>
      <x:c r="B21" s="18"/>
      <x:c r="C21" s="18"/>
      <x:c r="D21" s="18" t="n">
        <x:f>E13-E21</x:f>
        <x:v>2200</x:v>
      </x:c>
      <x:c r="E21" s="18" t="n">
        <x:f>B14*C10</x:f>
        <x:v>1500</x:v>
      </x:c>
      <x:c r="F21" s="16" t="str">
        <x:v>期末だけ最終単価で評価。払出計は差額として算定。各払出の単価は定義しない。</x:v>
      </x:c>
      <x:c r="G21" s="2"/>
      <x:c r="H21" s="2"/>
    </x:row>
    <x:row r="22" ht="88" customHeight="1">
      <x:c r="A22" s="16" t="str">
        <x:v>個別法</x:v>
      </x:c>
      <x:c r="B22" s="18" t="n">
        <x:f>B35*C7+C35*C8</x:f>
        <x:v>1320</x:v>
      </x:c>
      <x:c r="C22" s="18" t="n">
        <x:f>B36*C7+D36*C10</x:f>
        <x:v>1000</x:v>
      </x:c>
      <x:c r="D22" s="18" t="n">
        <x:f>SUM(B22:C22)</x:f>
        <x:v>2320</x:v>
      </x:c>
      <x:c r="E22" s="18" t="n">
        <x:f>E13-D22</x:f>
        <x:v>1380</x:v>
      </x:c>
      <x:c r="F22" s="16" t="str">
        <x:v>払出1＝期首6個＋入荷1の6個。払出2＝期首4個＋入荷2の4個。</x:v>
      </x:c>
      <x:c r="G22" s="2"/>
      <x:c r="H22" s="2"/>
    </x:row>
    <x:row r="23" ht="88" customHeight="1">
      <x:c r="A23" s="16" t="str">
        <x:v>標準単価125円</x:v>
      </x:c>
      <x:c r="B23" s="18" t="n">
        <x:f>D9*B38</x:f>
        <x:v>1500</x:v>
      </x:c>
      <x:c r="C23" s="18" t="n">
        <x:f>D11*B38</x:f>
        <x:v>1000</x:v>
      </x:c>
      <x:c r="D23" s="18" t="n">
        <x:f>SUM(B23:C23)</x:f>
        <x:v>2500</x:v>
      </x:c>
      <x:c r="E23" s="18" t="n">
        <x:f>B14*B38</x:f>
        <x:v>1250</x:v>
      </x:c>
      <x:c r="F23" s="16" t="str">
        <x:v>受払は標準単価。実際受入との差異を別計上し、下で照合。</x:v>
      </x:c>
      <x:c r="G23" s="2"/>
      <x:c r="H23" s="2"/>
    </x:row>
    <x:row r="24" ht="40" customHeight="1">
      <x:c r="A24" s="16"/>
      <x:c r="B24" s="18"/>
      <x:c r="C24" s="18"/>
      <x:c r="D24" s="18"/>
      <x:c r="E24" s="18"/>
      <x:c r="F24" s="16"/>
      <x:c r="G24" s="2"/>
      <x:c r="H24" s="2"/>
    </x:row>
    <x:row r="25" ht="40" customHeight="1">
      <x:c r="A25" s="16"/>
      <x:c r="B25" s="18"/>
      <x:c r="C25" s="18"/>
      <x:c r="D25" s="18"/>
      <x:c r="E25" s="18"/>
      <x:c r="F25" s="16"/>
      <x:c r="G25" s="2"/>
      <x:c r="H25" s="2"/>
    </x:row>
    <x:row r="26" ht="40" customHeight="1">
      <x:c r="A26" s="16" t="str">
        <x:v>平均単価の計算過程</x:v>
      </x:c>
      <x:c r="B26" s="18"/>
      <x:c r="C26" s="18"/>
      <x:c r="D26" s="18"/>
      <x:c r="E26" s="18"/>
      <x:c r="F26" s="16"/>
      <x:c r="G26" s="2"/>
      <x:c r="H26" s="2"/>
    </x:row>
    <x:row r="27" ht="40" customHeight="1">
      <x:c r="A27" s="16" t="str">
        <x:v>入荷1後の平均単価</x:v>
      </x:c>
      <x:c r="B27" s="18" t="n">
        <x:f>(E7+E8)/(B7+B8)</x:f>
        <x:v>110</x:v>
      </x:c>
      <x:c r="C27" s="18"/>
      <x:c r="D27" s="18"/>
      <x:c r="E27" s="18"/>
      <x:c r="F27" s="16"/>
      <x:c r="G27" s="2"/>
      <x:c r="H27" s="2"/>
    </x:row>
    <x:row r="28" ht="40" customHeight="1">
      <x:c r="A28" s="16" t="str">
        <x:v>入荷2後の在庫金額</x:v>
      </x:c>
      <x:c r="B28" s="18" t="n">
        <x:f>E7+E8-B19+E10</x:f>
        <x:v>2380</x:v>
      </x:c>
      <x:c r="C28" s="18"/>
      <x:c r="D28" s="18"/>
      <x:c r="E28" s="18"/>
      <x:c r="F28" s="16"/>
      <x:c r="G28" s="2"/>
      <x:c r="H28" s="2"/>
    </x:row>
    <x:row r="29" ht="40" customHeight="1">
      <x:c r="A29" s="16" t="str">
        <x:v>入荷2後の平均単価</x:v>
      </x:c>
      <x:c r="B29" s="18" t="n">
        <x:f>B28/(B7+B8-D9+B10)</x:f>
        <x:v>132.22222222222223</x:v>
      </x:c>
      <x:c r="C29" s="18"/>
      <x:c r="D29" s="18"/>
      <x:c r="E29" s="18"/>
      <x:c r="F29" s="16"/>
      <x:c r="G29" s="2"/>
      <x:c r="H29" s="2"/>
    </x:row>
    <x:row r="30" ht="40" customHeight="1">
      <x:c r="A30" s="16" t="str"/>
      <x:c r="B30" s="18"/>
      <x:c r="C30" s="18"/>
      <x:c r="D30" s="18"/>
      <x:c r="E30" s="18"/>
      <x:c r="F30" s="16"/>
      <x:c r="G30" s="2"/>
      <x:c r="H30" s="2"/>
    </x:row>
    <x:row r="31" ht="40" customHeight="1">
      <x:c r="A31" s="16" t="str">
        <x:v>総平均単価</x:v>
      </x:c>
      <x:c r="B31" s="18" t="n">
        <x:f>E13/B13</x:f>
        <x:v>123.33333333333333</x:v>
      </x:c>
      <x:c r="C31" s="18"/>
      <x:c r="D31" s="18"/>
      <x:c r="E31" s="18"/>
      <x:c r="F31" s="16"/>
      <x:c r="G31" s="2"/>
      <x:c r="H31" s="2"/>
    </x:row>
    <x:row r="32" ht="40" customHeight="1">
      <x:c r="A32" s="16"/>
      <x:c r="B32" s="18"/>
      <x:c r="C32" s="18"/>
      <x:c r="D32" s="18"/>
      <x:c r="E32" s="18"/>
      <x:c r="F32" s="16"/>
      <x:c r="G32" s="2"/>
      <x:c r="H32" s="2"/>
    </x:row>
    <x:row r="33" ht="40" customHeight="1">
      <x:c r="A33" s="16"/>
      <x:c r="B33" s="18"/>
      <x:c r="C33" s="18"/>
      <x:c r="D33" s="18"/>
      <x:c r="E33" s="18"/>
      <x:c r="F33" s="16"/>
      <x:c r="G33" s="2"/>
      <x:c r="H33" s="2"/>
    </x:row>
    <x:row r="34" ht="40" customHeight="1">
      <x:c r="A34" s="23" t="str">
        <x:v>個別法の払出内訳</x:v>
      </x:c>
      <x:c r="B34" s="26" t="str">
        <x:v>期首（個）</x:v>
      </x:c>
      <x:c r="C34" s="26" t="str">
        <x:v>入荷1（個）</x:v>
      </x:c>
      <x:c r="D34" s="26" t="str">
        <x:v>入荷2（個）</x:v>
      </x:c>
      <x:c r="E34" s="26"/>
      <x:c r="F34" s="23"/>
      <x:c r="G34" s="2"/>
      <x:c r="H34" s="2"/>
    </x:row>
    <x:row r="35" ht="40" customHeight="1">
      <x:c r="A35" s="16" t="str">
        <x:v>払出1</x:v>
      </x:c>
      <x:c r="B35" s="20" t="n">
        <x:v>6</x:v>
      </x:c>
      <x:c r="C35" s="20" t="n">
        <x:v>6</x:v>
      </x:c>
      <x:c r="D35" s="20" t="n">
        <x:v>0</x:v>
      </x:c>
      <x:c r="E35" s="18"/>
      <x:c r="F35" s="16"/>
      <x:c r="G35" s="2"/>
      <x:c r="H35" s="2"/>
    </x:row>
    <x:row r="36" ht="40" customHeight="1">
      <x:c r="A36" s="16" t="str">
        <x:v>払出2</x:v>
      </x:c>
      <x:c r="B36" s="20" t="n">
        <x:v>4</x:v>
      </x:c>
      <x:c r="C36" s="20" t="n">
        <x:v>0</x:v>
      </x:c>
      <x:c r="D36" s="20" t="n">
        <x:v>4</x:v>
      </x:c>
      <x:c r="E36" s="18"/>
      <x:c r="F36" s="16"/>
      <x:c r="G36" s="2"/>
      <x:c r="H36" s="2"/>
    </x:row>
    <x:row r="37" ht="40" customHeight="1">
      <x:c r="A37" s="16"/>
      <x:c r="B37" s="18"/>
      <x:c r="C37" s="18"/>
      <x:c r="D37" s="18"/>
      <x:c r="E37" s="18"/>
      <x:c r="F37" s="16"/>
      <x:c r="G37" s="2"/>
      <x:c r="H37" s="2"/>
    </x:row>
    <x:row r="38" ht="70" customHeight="1">
      <x:c r="A38" s="16" t="str">
        <x:v>標準単価（円／個）</x:v>
      </x:c>
      <x:c r="B38" s="20" t="n">
        <x:v>125</x:v>
      </x:c>
      <x:c r="C38" s="18"/>
      <x:c r="D38" s="18"/>
      <x:c r="E38" s="18"/>
      <x:c r="F38" s="16"/>
      <x:c r="G38" s="2"/>
      <x:c r="H38" s="2"/>
    </x:row>
    <x:row r="39" ht="70" customHeight="1">
      <x:c r="A39" s="16" t="str">
        <x:v>実際受入−標準受入の差異</x:v>
      </x:c>
      <x:c r="B39" s="18" t="n">
        <x:f>E13-B13*B38</x:f>
        <x:v>-50</x:v>
      </x:c>
      <x:c r="C39" s="18"/>
      <x:c r="D39" s="18"/>
      <x:c r="E39" s="18"/>
      <x:c r="F39" s="16" t="str">
        <x:v>この差異は受入価格差異の総額。期首も標準換算して比較する例。財務在庫への配賦は別途必要。</x:v>
      </x:c>
      <x:c r="G39" s="2"/>
      <x:c r="H39" s="2"/>
    </x:row>
    <x:row r="40" ht="70" customHeight="1">
      <x:c r="A40" s="16" t="str">
        <x:v>標準払出＋標準在庫＋差異</x:v>
      </x:c>
      <x:c r="B40" s="18" t="n">
        <x:f>D23+E23+B39</x:f>
        <x:v>3700</x:v>
      </x:c>
      <x:c r="C40" s="18"/>
      <x:c r="D40" s="18"/>
      <x:c r="E40" s="18"/>
      <x:c r="F40" s="16"/>
      <x:c r="G40" s="2"/>
      <x:c r="H40" s="2"/>
    </x:row>
    <x:row r="41" ht="40" customHeight="1">
      <x:c r="A41" s="16"/>
      <x:c r="B41" s="18"/>
      <x:c r="C41" s="18"/>
      <x:c r="D41" s="18"/>
      <x:c r="E41" s="18"/>
      <x:c r="F41" s="16"/>
      <x:c r="G41" s="2"/>
      <x:c r="H41" s="2"/>
    </x:row>
    <x:row r="42" ht="40" customHeight="1">
      <x:c r="A42" s="16" t="str">
        <x:v>FIFO残高照合（0が一致）</x:v>
      </x:c>
      <x:c r="B42" s="18" t="n">
        <x:f>E13-D18-E18</x:f>
        <x:v>0</x:v>
      </x:c>
      <x:c r="C42" s="18"/>
      <x:c r="D42" s="18"/>
      <x:c r="E42" s="18"/>
      <x:c r="F42" s="16"/>
      <x:c r="G42" s="2"/>
      <x:c r="H42" s="2"/>
    </x:row>
    <x:row r="43" ht="40" customHeight="1">
      <x:c r="A43" s="16" t="str">
        <x:v>移動平均残高照合</x:v>
      </x:c>
      <x:c r="B43" s="18" t="n">
        <x:f>E13-D19-E19</x:f>
        <x:v>0</x:v>
      </x:c>
      <x:c r="C43" s="18"/>
      <x:c r="D43" s="18"/>
      <x:c r="E43" s="18"/>
      <x:c r="F43" s="16"/>
      <x:c r="G43" s="2"/>
      <x:c r="H43" s="2"/>
    </x:row>
    <x:row r="44" ht="40" customHeight="1">
      <x:c r="A44" s="16" t="str">
        <x:v>総平均残高照合</x:v>
      </x:c>
      <x:c r="B44" s="18" t="n">
        <x:f>E13-D20-E20</x:f>
        <x:v>2.2737367544323206e-13</x:v>
      </x:c>
      <x:c r="C44" s="18"/>
      <x:c r="D44" s="18"/>
      <x:c r="E44" s="18"/>
      <x:c r="F44" s="16"/>
      <x:c r="G44" s="2"/>
      <x:c r="H44" s="2"/>
    </x:row>
    <x:row r="45" ht="40" customHeight="1">
      <x:c r="A45" s="16" t="str">
        <x:v>最終仕入残高照合</x:v>
      </x:c>
      <x:c r="B45" s="18" t="n">
        <x:f>E13-D21-E21</x:f>
        <x:v>0</x:v>
      </x:c>
      <x:c r="C45" s="18"/>
      <x:c r="D45" s="18"/>
      <x:c r="E45" s="18"/>
      <x:c r="F45" s="16"/>
      <x:c r="G45" s="2"/>
      <x:c r="H45" s="2"/>
    </x:row>
    <x:row r="46" ht="40" customHeight="1">
      <x:c r="A46" s="16" t="str">
        <x:v>個別法残高照合</x:v>
      </x:c>
      <x:c r="B46" s="18" t="n">
        <x:f>E13-D22-E22</x:f>
        <x:v>0</x:v>
      </x:c>
      <x:c r="C46" s="18"/>
      <x:c r="D46" s="18"/>
      <x:c r="E46" s="18"/>
      <x:c r="F46" s="16"/>
      <x:c r="G46" s="2"/>
      <x:c r="H46" s="2"/>
    </x:row>
    <x:row r="47" ht="40" customHeight="1">
      <x:c r="A47" s="16" t="str">
        <x:v>標準＋差異の照合</x:v>
      </x:c>
      <x:c r="B47" s="18" t="n">
        <x:f>E13-B40</x:f>
        <x:v>0</x:v>
      </x:c>
      <x:c r="C47" s="18"/>
      <x:c r="D47" s="18"/>
      <x:c r="E47" s="18"/>
      <x:c r="F47" s="16"/>
      <x:c r="G47" s="2"/>
      <x:c r="H47" s="2"/>
    </x:row>
    <x:row r="48" ht="40" customHeight="1">
      <x:c r="A48" s="16"/>
      <x:c r="B48" s="18"/>
      <x:c r="C48" s="18"/>
      <x:c r="D48" s="18"/>
      <x:c r="E48" s="18"/>
      <x:c r="F48" s="16"/>
      <x:c r="G48" s="2"/>
      <x:c r="H48" s="2"/>
    </x:row>
    <x:row r="49" ht="40" customHeight="1">
      <x:c r="A49" s="16" t="str">
        <x:v>補足：売価還元法と収益性低下の評価</x:v>
      </x:c>
      <x:c r="B49" s="18"/>
      <x:c r="C49" s="18"/>
      <x:c r="D49" s="18"/>
      <x:c r="E49" s="18"/>
      <x:c r="F49" s="16"/>
      <x:c r="G49" s="2"/>
      <x:c r="H49" s="2"/>
    </x:row>
    <x:row r="50" ht="40" customHeight="1">
      <x:c r="A50" s="23" t="str">
        <x:v>項目</x:v>
      </x:c>
      <x:c r="B50" s="26" t="str">
        <x:v>数値</x:v>
      </x:c>
      <x:c r="C50" s="26" t="str">
        <x:v>計算</x:v>
      </x:c>
      <x:c r="D50" s="26"/>
      <x:c r="E50" s="26"/>
      <x:c r="F50" s="23"/>
      <x:c r="G50" s="2"/>
      <x:c r="H50" s="2"/>
    </x:row>
    <x:row r="51" ht="40" customHeight="1">
      <x:c r="A51" s="16" t="str">
        <x:v>売価総額（円）</x:v>
      </x:c>
      <x:c r="B51" s="20" t="n">
        <x:v>20000</x:v>
      </x:c>
      <x:c r="C51" s="18" t="str">
        <x:v>原価率60%の簡便例</x:v>
      </x:c>
      <x:c r="D51" s="18"/>
      <x:c r="E51" s="18"/>
      <x:c r="F51" s="16"/>
      <x:c r="G51" s="2"/>
      <x:c r="H51" s="2"/>
    </x:row>
    <x:row r="52" ht="40" customHeight="1">
      <x:c r="A52" s="16" t="str">
        <x:v>原価率</x:v>
      </x:c>
      <x:c r="B52" s="28" t="n">
        <x:v>0.6</x:v>
      </x:c>
      <x:c r="C52" s="18" t="str">
        <x:v>同じ原価率の商品グループ</x:v>
      </x:c>
      <x:c r="D52" s="18"/>
      <x:c r="E52" s="18"/>
      <x:c r="F52" s="16"/>
      <x:c r="G52" s="2"/>
      <x:c r="H52" s="2"/>
    </x:row>
    <x:row r="53" ht="40" customHeight="1">
      <x:c r="A53" s="16" t="str">
        <x:v>売価還元の在庫（円）</x:v>
      </x:c>
      <x:c r="B53" s="18" t="n">
        <x:f>B51*B52</x:f>
        <x:v>12000</x:v>
      </x:c>
      <x:c r="C53" s="18" t="str">
        <x:v>売価総額×原価率</x:v>
      </x:c>
      <x:c r="D53" s="18"/>
      <x:c r="E53" s="18"/>
      <x:c r="F53" s="16"/>
      <x:c r="G53" s="2"/>
      <x:c r="H53" s="2"/>
    </x:row>
    <x:row r="54" ht="40" customHeight="1">
      <x:c r="A54" s="16"/>
      <x:c r="B54" s="18"/>
      <x:c r="C54" s="18"/>
      <x:c r="D54" s="18"/>
      <x:c r="E54" s="18"/>
      <x:c r="F54" s="16"/>
      <x:c r="G54" s="2"/>
      <x:c r="H54" s="2"/>
    </x:row>
    <x:row r="55" ht="40" customHeight="1">
      <x:c r="A55" s="16" t="str">
        <x:v>取得原価（円）</x:v>
      </x:c>
      <x:c r="B55" s="20" t="n">
        <x:v>10000</x:v>
      </x:c>
      <x:c r="C55" s="18" t="str">
        <x:v>FIFO等で取得原価を決めた後の評価</x:v>
      </x:c>
      <x:c r="D55" s="18"/>
      <x:c r="E55" s="18"/>
      <x:c r="F55" s="16"/>
      <x:c r="G55" s="2"/>
      <x:c r="H55" s="2"/>
    </x:row>
    <x:row r="56" ht="40" customHeight="1">
      <x:c r="A56" s="16" t="str">
        <x:v>正味売却価額（円）</x:v>
      </x:c>
      <x:c r="B56" s="20" t="n">
        <x:v>8000</x:v>
      </x:c>
      <x:c r="C56" s="18" t="str">
        <x:v>売価−追加製造原価−販売直接費の見積</x:v>
      </x:c>
      <x:c r="D56" s="18"/>
      <x:c r="E56" s="18"/>
      <x:c r="F56" s="16"/>
      <x:c r="G56" s="2"/>
      <x:c r="H56" s="2"/>
    </x:row>
    <x:row r="57" ht="40" customHeight="1">
      <x:c r="A57" s="16" t="str">
        <x:v>期末帳簿価額（円）</x:v>
      </x:c>
      <x:c r="B57" s="18" t="n">
        <x:f>MIN(B55:B56)</x:f>
        <x:v>8000</x:v>
      </x:c>
      <x:c r="C57" s="18" t="str">
        <x:v>取得原価と正味売却価額の低い方</x:v>
      </x:c>
      <x:c r="D57" s="18"/>
      <x:c r="E57" s="18"/>
      <x:c r="F57" s="16"/>
      <x:c r="G57" s="2"/>
      <x:c r="H57" s="2"/>
    </x:row>
    <x:row r="58" ht="40" customHeight="1">
      <x:c r="A58" s="16" t="str">
        <x:v>評価損（円）</x:v>
      </x:c>
      <x:c r="B58" s="18" t="n">
        <x:f>B55-B57</x:f>
        <x:v>2000</x:v>
      </x:c>
      <x:c r="C58" s="18" t="str">
        <x:v>取得原価−期末帳簿価額</x:v>
      </x:c>
      <x:c r="D58" s="18"/>
      <x:c r="E58" s="18"/>
      <x:c r="F58" s="16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</x:sheetData>
  <x:conditionalFormatting sqref="B42:B47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C608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3" hidden="0" customWidth="1"/>
    <x:col min="5" max="5" width="44" hidden="0" customWidth="1"/>
    <x:col min="6" max="6" width="3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製品計算例：標準差異・個別・総合・ABC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黄色が例題入力。金額は円。条件を揃えて比較し、単価の丸めは表示のみとする。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55" customHeight="1">
      <x:c r="A6" s="23" t="str">
        <x:v>標準と実際の比較</x:v>
      </x:c>
      <x:c r="B6" s="23" t="str">
        <x:v>標準</x:v>
      </x:c>
      <x:c r="C6" s="23" t="str">
        <x:v>実際</x:v>
      </x:c>
      <x:c r="D6" s="23" t="str">
        <x:v>差異（実際−標準）</x:v>
      </x:c>
      <x:c r="E6" s="23" t="str">
        <x:v>数量・率の意味</x:v>
      </x:c>
      <x:c r="F6" s="23" t="str">
        <x:v>解釈</x:v>
      </x:c>
      <x:c r="G6" s="2"/>
      <x:c r="H6" s="2"/>
    </x:row>
    <x:row r="7" ht="52" customHeight="1">
      <x:c r="A7" s="16" t="str">
        <x:v>完成数量（個）</x:v>
      </x:c>
      <x:c r="B7" s="20" t="n">
        <x:v>100</x:v>
      </x:c>
      <x:c r="C7" s="18" t="n">
        <x:f>B7</x:f>
        <x:v>100</x:v>
      </x:c>
      <x:c r="D7" s="18"/>
      <x:c r="E7" s="18" t="str">
        <x:v>同じ実際生産数量で標準と実際を比較</x:v>
      </x:c>
      <x:c r="F7" s="16" t="str"/>
      <x:c r="G7" s="2"/>
      <x:c r="H7" s="2"/>
    </x:row>
    <x:row r="8" ht="52" customHeight="1">
      <x:c r="A8" s="16" t="str">
        <x:v>材料使用量（kg）</x:v>
      </x:c>
      <x:c r="B8" s="20" t="n">
        <x:v>2</x:v>
      </x:c>
      <x:c r="C8" s="20" t="n">
        <x:v>220</x:v>
      </x:c>
      <x:c r="D8" s="18"/>
      <x:c r="E8" s="18" t="str">
        <x:v>標準は1個当たり。実際は100個全体。</x:v>
      </x:c>
      <x:c r="F8" s="16" t="str"/>
      <x:c r="G8" s="2"/>
      <x:c r="H8" s="2"/>
    </x:row>
    <x:row r="9" ht="52" customHeight="1">
      <x:c r="A9" s="16" t="str">
        <x:v>材料単価（円／kg）</x:v>
      </x:c>
      <x:c r="B9" s="20" t="n">
        <x:v>100</x:v>
      </x:c>
      <x:c r="C9" s="20" t="n">
        <x:v>110</x:v>
      </x:c>
      <x:c r="D9" s="18"/>
      <x:c r="E9" s="18" t="str">
        <x:v>標準価格と実際価格</x:v>
      </x:c>
      <x:c r="F9" s="16" t="str"/>
      <x:c r="G9" s="2"/>
      <x:c r="H9" s="2"/>
    </x:row>
    <x:row r="10" ht="52" customHeight="1">
      <x:c r="A10" s="16" t="str">
        <x:v>直接作業時間（時間）</x:v>
      </x:c>
      <x:c r="B10" s="20" t="n">
        <x:v>0.5</x:v>
      </x:c>
      <x:c r="C10" s="20" t="n">
        <x:v>60</x:v>
      </x:c>
      <x:c r="D10" s="18"/>
      <x:c r="E10" s="18" t="str">
        <x:v>標準は1個当たり。実際は100個全体。</x:v>
      </x:c>
      <x:c r="F10" s="16" t="str"/>
      <x:c r="G10" s="2"/>
      <x:c r="H10" s="2"/>
    </x:row>
    <x:row r="11" ht="52" customHeight="1">
      <x:c r="A11" s="16" t="str">
        <x:v>賃率（円／時間）</x:v>
      </x:c>
      <x:c r="B11" s="20" t="n">
        <x:v>2000</x:v>
      </x:c>
      <x:c r="C11" s="20" t="n">
        <x:v>2100</x:v>
      </x:c>
      <x:c r="D11" s="18"/>
      <x:c r="E11" s="18" t="str">
        <x:v>標準賃率と実際賃率</x:v>
      </x:c>
      <x:c r="F11" s="16" t="str"/>
      <x:c r="G11" s="2"/>
      <x:c r="H11" s="2"/>
    </x:row>
    <x:row r="12" ht="52" customHeight="1">
      <x:c r="A12" s="16" t="str">
        <x:v>製造間接費</x:v>
      </x:c>
      <x:c r="B12" s="20" t="n">
        <x:v>500</x:v>
      </x:c>
      <x:c r="C12" s="20" t="n">
        <x:v>60000</x:v>
      </x:c>
      <x:c r="D12" s="18"/>
      <x:c r="E12" s="18" t="str">
        <x:v>標準は1個当たり。実際は100個全体。</x:v>
      </x:c>
      <x:c r="F12" s="16" t="str">
        <x:v>例では合計差異のみ</x:v>
      </x:c>
      <x:c r="G12" s="2"/>
      <x:c r="H12" s="2"/>
    </x:row>
    <x:row r="13" ht="40" customHeight="1">
      <x:c r="A13" s="16" t="str">
        <x:v>材料費（円）</x:v>
      </x:c>
      <x:c r="B13" s="18" t="n">
        <x:f>B7*B8*B9</x:f>
        <x:v>20000</x:v>
      </x:c>
      <x:c r="C13" s="18" t="n">
        <x:f>C8*C9</x:f>
        <x:v>24200</x:v>
      </x:c>
      <x:c r="D13" s="18" t="n">
        <x:f>C13-B13</x:f>
        <x:v>4200</x:v>
      </x:c>
      <x:c r="E13" s="18" t="str">
        <x:v>数量×単価</x:v>
      </x:c>
      <x:c r="F13" s="16" t="str"/>
      <x:c r="G13" s="2"/>
      <x:c r="H13" s="2"/>
    </x:row>
    <x:row r="14" ht="40" customHeight="1">
      <x:c r="A14" s="16" t="str">
        <x:v>直接労務費（円）</x:v>
      </x:c>
      <x:c r="B14" s="18" t="n">
        <x:f>B7*B10*B11</x:f>
        <x:v>100000</x:v>
      </x:c>
      <x:c r="C14" s="18" t="n">
        <x:f>C10*C11</x:f>
        <x:v>126000</x:v>
      </x:c>
      <x:c r="D14" s="18" t="n">
        <x:f>C14-B14</x:f>
        <x:v>26000</x:v>
      </x:c>
      <x:c r="E14" s="18" t="str">
        <x:v>時間×賃率</x:v>
      </x:c>
      <x:c r="F14" s="16" t="str"/>
      <x:c r="G14" s="2"/>
      <x:c r="H14" s="2"/>
    </x:row>
    <x:row r="15" ht="40" customHeight="1">
      <x:c r="A15" s="16" t="str">
        <x:v>製造間接費（円）</x:v>
      </x:c>
      <x:c r="B15" s="18" t="n">
        <x:f>B7*B12</x:f>
        <x:v>50000</x:v>
      </x:c>
      <x:c r="C15" s="18" t="n">
        <x:f>C12</x:f>
        <x:v>60000</x:v>
      </x:c>
      <x:c r="D15" s="18" t="n">
        <x:f>C15-B15</x:f>
        <x:v>10000</x:v>
      </x:c>
      <x:c r="E15" s="18" t="str">
        <x:v>標準単価×完成数量／実際発生額</x:v>
      </x:c>
      <x:c r="F15" s="16" t="str"/>
      <x:c r="G15" s="2"/>
      <x:c r="H15" s="2"/>
    </x:row>
    <x:row r="16" ht="40" customHeight="1">
      <x:c r="A16" s="16" t="str">
        <x:v>製造原価計（円）</x:v>
      </x:c>
      <x:c r="B16" s="18" t="n">
        <x:f>SUM(B13:B15)</x:f>
        <x:v>170000</x:v>
      </x:c>
      <x:c r="C16" s="18" t="n">
        <x:f>SUM(C13:C15)</x:f>
        <x:v>210200</x:v>
      </x:c>
      <x:c r="D16" s="18" t="n">
        <x:f>C16-B16</x:f>
        <x:v>40200</x:v>
      </x:c>
      <x:c r="E16" s="18" t="str">
        <x:v>上記3費目の合計</x:v>
      </x:c>
      <x:c r="F16" s="16" t="str"/>
      <x:c r="G16" s="2"/>
      <x:c r="H16" s="2"/>
    </x:row>
    <x:row r="17" ht="40" customHeight="1">
      <x:c r="A17" s="16" t="str">
        <x:v>1個当たり原価（円）</x:v>
      </x:c>
      <x:c r="B17" s="18" t="n">
        <x:f>B16/B7</x:f>
        <x:v>1700</x:v>
      </x:c>
      <x:c r="C17" s="18" t="n">
        <x:f>C16/C7</x:f>
        <x:v>2102</x:v>
      </x:c>
      <x:c r="D17" s="18" t="n">
        <x:f>C17-B17</x:f>
        <x:v>402</x:v>
      </x:c>
      <x:c r="E17" s="18" t="str">
        <x:v>原価計÷完成数量</x:v>
      </x:c>
      <x:c r="F17" s="16" t="str"/>
      <x:c r="G17" s="2"/>
      <x:c r="H17" s="2"/>
    </x:row>
    <x:row r="18" ht="40" customHeight="1">
      <x:c r="A18" s="16"/>
      <x:c r="B18" s="18"/>
      <x:c r="C18" s="18"/>
      <x:c r="D18" s="18"/>
      <x:c r="E18" s="18"/>
      <x:c r="F18" s="16"/>
      <x:c r="G18" s="2"/>
      <x:c r="H18" s="2"/>
    </x:row>
    <x:row r="19" ht="40" customHeight="1">
      <x:c r="A19" s="16" t="str">
        <x:v>材料費の差異（正は不利差異）</x:v>
      </x:c>
      <x:c r="B19" s="18"/>
      <x:c r="C19" s="18"/>
      <x:c r="D19" s="18"/>
      <x:c r="E19" s="18"/>
      <x:c r="F19" s="16"/>
      <x:c r="G19" s="2"/>
      <x:c r="H19" s="2"/>
    </x:row>
    <x:row r="20" ht="40" customHeight="1">
      <x:c r="A20" s="16" t="str">
        <x:v>価格差異（円）</x:v>
      </x:c>
      <x:c r="B20" s="18" t="n">
        <x:f>(C9-B9)*C8</x:f>
        <x:v>2200</x:v>
      </x:c>
      <x:c r="C20" s="18"/>
      <x:c r="D20" s="18"/>
      <x:c r="E20" s="18" t="str">
        <x:v>（実際単価−標準単価）×実際使用量</x:v>
      </x:c>
      <x:c r="F20" s="16"/>
      <x:c r="G20" s="2"/>
      <x:c r="H20" s="2"/>
    </x:row>
    <x:row r="21" ht="40" customHeight="1">
      <x:c r="A21" s="16" t="str">
        <x:v>数量差異（円）</x:v>
      </x:c>
      <x:c r="B21" s="18" t="n">
        <x:f>(C8-B7*B8)*B9</x:f>
        <x:v>2000</x:v>
      </x:c>
      <x:c r="C21" s="18"/>
      <x:c r="D21" s="18"/>
      <x:c r="E21" s="18" t="str">
        <x:v>（実際使用量−完成数量×標準使用量）×標準単価</x:v>
      </x:c>
      <x:c r="F21" s="16"/>
      <x:c r="G21" s="2"/>
      <x:c r="H21" s="2"/>
    </x:row>
    <x:row r="22" ht="40" customHeight="1">
      <x:c r="A22" s="16" t="str">
        <x:v>材料差異計（円）</x:v>
      </x:c>
      <x:c r="B22" s="18" t="n">
        <x:f>SUM(B20:B21)</x:f>
        <x:v>4200</x:v>
      </x:c>
      <x:c r="C22" s="18"/>
      <x:c r="D22" s="18"/>
      <x:c r="E22" s="18"/>
      <x:c r="F22" s="16"/>
      <x:c r="G22" s="2"/>
      <x:c r="H22" s="2"/>
    </x:row>
    <x:row r="23" ht="40" customHeight="1">
      <x:c r="A23" s="16"/>
      <x:c r="B23" s="18"/>
      <x:c r="C23" s="18"/>
      <x:c r="D23" s="18"/>
      <x:c r="E23" s="18"/>
      <x:c r="F23" s="16"/>
      <x:c r="G23" s="2"/>
      <x:c r="H23" s="2"/>
    </x:row>
    <x:row r="24" ht="40" customHeight="1">
      <x:c r="A24" s="16" t="str">
        <x:v>賃率差異（円）</x:v>
      </x:c>
      <x:c r="B24" s="18" t="n">
        <x:f>(C11-B11)*C10</x:f>
        <x:v>6000</x:v>
      </x:c>
      <x:c r="C24" s="18"/>
      <x:c r="D24" s="18"/>
      <x:c r="E24" s="18" t="str">
        <x:v>（実際賃率−標準賃率）×実際時間</x:v>
      </x:c>
      <x:c r="F24" s="16"/>
      <x:c r="G24" s="2"/>
      <x:c r="H24" s="2"/>
    </x:row>
    <x:row r="25" ht="40" customHeight="1">
      <x:c r="A25" s="16" t="str">
        <x:v>時間差異（円）</x:v>
      </x:c>
      <x:c r="B25" s="18" t="n">
        <x:f>(C10-B7*B10)*B11</x:f>
        <x:v>20000</x:v>
      </x:c>
      <x:c r="C25" s="18"/>
      <x:c r="D25" s="18"/>
      <x:c r="E25" s="18" t="str">
        <x:v>（実際時間−完成数量×標準時間）×標準賃率</x:v>
      </x:c>
      <x:c r="F25" s="16"/>
      <x:c r="G25" s="2"/>
      <x:c r="H25" s="2"/>
    </x:row>
    <x:row r="26" ht="40" customHeight="1">
      <x:c r="A26" s="16" t="str">
        <x:v>労務差異計（円）</x:v>
      </x:c>
      <x:c r="B26" s="18" t="n">
        <x:f>SUM(B24:B25)</x:f>
        <x:v>26000</x:v>
      </x:c>
      <x:c r="C26" s="18"/>
      <x:c r="D26" s="18"/>
      <x:c r="E26" s="18"/>
      <x:c r="F26" s="16"/>
      <x:c r="G26" s="2"/>
      <x:c r="H26" s="2"/>
    </x:row>
    <x:row r="27" ht="40" customHeight="1">
      <x:c r="A27" s="16" t="str"/>
      <x:c r="B27" s="18"/>
      <x:c r="C27" s="18"/>
      <x:c r="D27" s="18"/>
      <x:c r="E27" s="18"/>
      <x:c r="F27" s="16"/>
      <x:c r="G27" s="2"/>
      <x:c r="H27" s="2"/>
    </x:row>
    <x:row r="28" ht="40" customHeight="1">
      <x:c r="A28" s="16" t="str">
        <x:v>材料差異照合（0が一致）</x:v>
      </x:c>
      <x:c r="B28" s="18" t="n">
        <x:f>D13-B22</x:f>
        <x:v>0</x:v>
      </x:c>
      <x:c r="C28" s="18"/>
      <x:c r="D28" s="18"/>
      <x:c r="E28" s="18"/>
      <x:c r="F28" s="16"/>
      <x:c r="G28" s="2"/>
      <x:c r="H28" s="2"/>
    </x:row>
    <x:row r="29" ht="40" customHeight="1">
      <x:c r="A29" s="16" t="str">
        <x:v>労務差異照合（0が一致）</x:v>
      </x:c>
      <x:c r="B29" s="18" t="n">
        <x:f>D14-B26</x:f>
        <x:v>0</x:v>
      </x:c>
      <x:c r="C29" s="18"/>
      <x:c r="D29" s="18"/>
      <x:c r="E29" s="18"/>
      <x:c r="F29" s="16"/>
      <x:c r="G29" s="2"/>
      <x:c r="H29" s="2"/>
    </x:row>
    <x:row r="30" ht="40" customHeight="1">
      <x:c r="A30" s="16"/>
      <x:c r="B30" s="18"/>
      <x:c r="C30" s="18"/>
      <x:c r="D30" s="18"/>
      <x:c r="E30" s="18"/>
      <x:c r="F30" s="16"/>
      <x:c r="G30" s="2"/>
      <x:c r="H30" s="2"/>
    </x:row>
    <x:row r="31" ht="55" customHeight="1">
      <x:c r="A31" s="23" t="str">
        <x:v>個別原価計算：製番A</x:v>
      </x:c>
      <x:c r="B31" s="26"/>
      <x:c r="C31" s="26"/>
      <x:c r="D31" s="26"/>
      <x:c r="E31" s="26"/>
      <x:c r="F31" s="23"/>
      <x:c r="G31" s="2"/>
      <x:c r="H31" s="2"/>
    </x:row>
    <x:row r="32" ht="40" customHeight="1">
      <x:c r="A32" s="16" t="str">
        <x:v>直接材料費（円）</x:v>
      </x:c>
      <x:c r="B32" s="20" t="n">
        <x:v>50000</x:v>
      </x:c>
      <x:c r="C32" s="18"/>
      <x:c r="D32" s="18"/>
      <x:c r="E32" s="18"/>
      <x:c r="F32" s="16"/>
      <x:c r="G32" s="2"/>
      <x:c r="H32" s="2"/>
    </x:row>
    <x:row r="33" ht="40" customHeight="1">
      <x:c r="A33" s="16" t="str">
        <x:v>直接労務費（円）</x:v>
      </x:c>
      <x:c r="B33" s="20" t="n">
        <x:v>40000</x:v>
      </x:c>
      <x:c r="C33" s="18"/>
      <x:c r="D33" s="18"/>
      <x:c r="E33" s="18"/>
      <x:c r="F33" s="16"/>
      <x:c r="G33" s="2"/>
      <x:c r="H33" s="2"/>
    </x:row>
    <x:row r="34" ht="40" customHeight="1">
      <x:c r="A34" s="16" t="str">
        <x:v>間接費配賦率（円／時間）</x:v>
      </x:c>
      <x:c r="B34" s="20" t="n">
        <x:v>500</x:v>
      </x:c>
      <x:c r="C34" s="18"/>
      <x:c r="D34" s="18"/>
      <x:c r="E34" s="18"/>
      <x:c r="F34" s="16"/>
      <x:c r="G34" s="2"/>
      <x:c r="H34" s="2"/>
    </x:row>
    <x:row r="35" ht="40" customHeight="1">
      <x:c r="A35" s="16" t="str">
        <x:v>実際機械時間（時間）</x:v>
      </x:c>
      <x:c r="B35" s="20" t="n">
        <x:v>20</x:v>
      </x:c>
      <x:c r="C35" s="18"/>
      <x:c r="D35" s="18"/>
      <x:c r="E35" s="18"/>
      <x:c r="F35" s="16"/>
      <x:c r="G35" s="2"/>
      <x:c r="H35" s="2"/>
    </x:row>
    <x:row r="36" ht="40" customHeight="1">
      <x:c r="A36" s="16" t="str">
        <x:v>配賦間接費（円）</x:v>
      </x:c>
      <x:c r="B36" s="18" t="n">
        <x:f>B34*B35</x:f>
        <x:v>10000</x:v>
      </x:c>
      <x:c r="C36" s="18"/>
      <x:c r="D36" s="18"/>
      <x:c r="E36" s="18" t="str">
        <x:v>予定配賦なら、実際間接費との差額を別途処理する。</x:v>
      </x:c>
      <x:c r="F36" s="16"/>
      <x:c r="G36" s="2"/>
      <x:c r="H36" s="2"/>
    </x:row>
    <x:row r="37" ht="40" customHeight="1">
      <x:c r="A37" s="16" t="str">
        <x:v>製番Aの原価（円）</x:v>
      </x:c>
      <x:c r="B37" s="18" t="n">
        <x:f>SUM(B32:B33,B36)</x:f>
        <x:v>100000</x:v>
      </x:c>
      <x:c r="C37" s="18"/>
      <x:c r="D37" s="18"/>
      <x:c r="E37" s="18"/>
      <x:c r="F37" s="16"/>
      <x:c r="G37" s="2"/>
      <x:c r="H37" s="2"/>
    </x:row>
    <x:row r="38" ht="40" customHeight="1">
      <x:c r="A38" s="16" t="str">
        <x:v>製番Aの完成数量（個）</x:v>
      </x:c>
      <x:c r="B38" s="20" t="n">
        <x:v>100</x:v>
      </x:c>
      <x:c r="C38" s="18"/>
      <x:c r="D38" s="18"/>
      <x:c r="E38" s="18"/>
      <x:c r="F38" s="16"/>
      <x:c r="G38" s="2"/>
      <x:c r="H38" s="2"/>
    </x:row>
    <x:row r="39" ht="40" customHeight="1">
      <x:c r="A39" s="16" t="str">
        <x:v>1個当たり原価（円）</x:v>
      </x:c>
      <x:c r="B39" s="18" t="n">
        <x:f>B37/B38</x:f>
        <x:v>1000</x:v>
      </x:c>
      <x:c r="C39" s="18"/>
      <x:c r="D39" s="18"/>
      <x:c r="E39" s="18"/>
      <x:c r="F39" s="16"/>
      <x:c r="G39" s="2"/>
      <x:c r="H39" s="2"/>
    </x:row>
    <x:row r="40" ht="55" customHeight="1">
      <x:c r="A40" s="23" t="str">
        <x:v>総合原価計算：期首仕掛なし、材料は工程開始時に全量投入</x:v>
      </x:c>
      <x:c r="B40" s="26"/>
      <x:c r="C40" s="26"/>
      <x:c r="D40" s="26"/>
      <x:c r="E40" s="26"/>
      <x:c r="F40" s="23"/>
      <x:c r="G40" s="2"/>
      <x:c r="H40" s="2"/>
    </x:row>
    <x:row r="41" ht="40" customHeight="1">
      <x:c r="A41" s="16" t="str">
        <x:v>完成数量（個）</x:v>
      </x:c>
      <x:c r="B41" s="20" t="n">
        <x:v>800</x:v>
      </x:c>
      <x:c r="C41" s="18"/>
      <x:c r="D41" s="18"/>
      <x:c r="E41" s="18"/>
      <x:c r="F41" s="16"/>
      <x:c r="G41" s="2"/>
      <x:c r="H41" s="2"/>
    </x:row>
    <x:row r="42" ht="40" customHeight="1">
      <x:c r="A42" s="16" t="str">
        <x:v>期末仕掛数量（個）</x:v>
      </x:c>
      <x:c r="B42" s="20" t="n">
        <x:v>200</x:v>
      </x:c>
      <x:c r="C42" s="18"/>
      <x:c r="D42" s="18"/>
      <x:c r="E42" s="18"/>
      <x:c r="F42" s="16"/>
      <x:c r="G42" s="2"/>
      <x:c r="H42" s="2"/>
    </x:row>
    <x:row r="43" ht="40" customHeight="1">
      <x:c r="A43" s="16" t="str">
        <x:v>仕掛品の加工進捗率</x:v>
      </x:c>
      <x:c r="B43" s="28" t="n">
        <x:v>0.5</x:v>
      </x:c>
      <x:c r="C43" s="18"/>
      <x:c r="D43" s="18"/>
      <x:c r="E43" s="18"/>
      <x:c r="F43" s="16"/>
      <x:c r="G43" s="2"/>
      <x:c r="H43" s="2"/>
    </x:row>
    <x:row r="44" ht="40" customHeight="1">
      <x:c r="A44" s="16" t="str">
        <x:v>完成品換算量（個）</x:v>
      </x:c>
      <x:c r="B44" s="18" t="n">
        <x:f>B41+B42*B43</x:f>
        <x:v>900</x:v>
      </x:c>
      <x:c r="C44" s="18" t="n">
        <x:f>B41+B42</x:f>
        <x:v>1000</x:v>
      </x:c>
      <x:c r="D44" s="18" t="str">
        <x:v>加工の換算量</x:v>
      </x:c>
      <x:c r="E44" s="18" t="str">
        <x:v>材料の換算量は完成＋仕掛の全数量</x:v>
      </x:c>
      <x:c r="F44" s="16" t="str"/>
      <x:c r="G44" s="2"/>
      <x:c r="H44" s="2"/>
    </x:row>
    <x:row r="45" ht="40" customHeight="1">
      <x:c r="A45" s="16" t="str">
        <x:v>材料費総額（円）</x:v>
      </x:c>
      <x:c r="B45" s="20" t="n">
        <x:v>50000</x:v>
      </x:c>
      <x:c r="C45" s="18" t="str">
        <x:v>材料の換算量はC44</x:v>
      </x:c>
      <x:c r="D45" s="18"/>
      <x:c r="E45" s="18"/>
      <x:c r="F45" s="16"/>
      <x:c r="G45" s="2"/>
      <x:c r="H45" s="2"/>
    </x:row>
    <x:row r="46" ht="40" customHeight="1">
      <x:c r="A46" s="16" t="str">
        <x:v>加工費総額（円）</x:v>
      </x:c>
      <x:c r="B46" s="20" t="n">
        <x:v>45000</x:v>
      </x:c>
      <x:c r="C46" s="18" t="str">
        <x:v>加工費の換算量はB44</x:v>
      </x:c>
      <x:c r="D46" s="18"/>
      <x:c r="E46" s="18"/>
      <x:c r="F46" s="16"/>
      <x:c r="G46" s="2"/>
      <x:c r="H46" s="2"/>
    </x:row>
    <x:row r="47" ht="40" customHeight="1">
      <x:c r="A47" s="16" t="str">
        <x:v>換算量1個の費用（円）</x:v>
      </x:c>
      <x:c r="B47" s="18" t="n">
        <x:f>B45/C44</x:f>
        <x:v>50</x:v>
      </x:c>
      <x:c r="C47" s="18" t="n">
        <x:f>B46/B44</x:f>
        <x:v>50</x:v>
      </x:c>
      <x:c r="D47" s="18" t="str">
        <x:v>B列＝材料単価、C列＝加工単価</x:v>
      </x:c>
      <x:c r="E47" s="18" t="str"/>
      <x:c r="F47" s="16" t="str"/>
      <x:c r="G47" s="2"/>
      <x:c r="H47" s="2"/>
    </x:row>
    <x:row r="48" ht="40" customHeight="1">
      <x:c r="A48" s="16" t="str">
        <x:v>完成品原価（円）</x:v>
      </x:c>
      <x:c r="B48" s="18" t="n">
        <x:f>B41*(B47+C47)</x:f>
        <x:v>80000</x:v>
      </x:c>
      <x:c r="C48" s="18"/>
      <x:c r="D48" s="18"/>
      <x:c r="E48" s="18"/>
      <x:c r="F48" s="16"/>
      <x:c r="G48" s="2"/>
      <x:c r="H48" s="2"/>
    </x:row>
    <x:row r="49" ht="40" customHeight="1">
      <x:c r="A49" s="16" t="str">
        <x:v>期末仕掛品原価（円）</x:v>
      </x:c>
      <x:c r="B49" s="18" t="n">
        <x:f>B42*B47+B42*B43*C47</x:f>
        <x:v>15000</x:v>
      </x:c>
      <x:c r="C49" s="18"/>
      <x:c r="D49" s="18"/>
      <x:c r="E49" s="18"/>
      <x:c r="F49" s="16"/>
      <x:c r="G49" s="2"/>
      <x:c r="H49" s="2"/>
    </x:row>
    <x:row r="50" ht="40" customHeight="1">
      <x:c r="A50" s="16" t="str">
        <x:v>原価配分照合（0が一致）</x:v>
      </x:c>
      <x:c r="B50" s="18" t="n">
        <x:f>SUM(B45:B46)-SUM(B48:B49)</x:f>
        <x:v>0</x:v>
      </x:c>
      <x:c r="C50" s="18"/>
      <x:c r="D50" s="18"/>
      <x:c r="E50" s="18"/>
      <x:c r="F50" s="16"/>
      <x:c r="G50" s="2"/>
      <x:c r="H50" s="2"/>
    </x:row>
    <x:row r="51" ht="40" customHeight="1">
      <x:c r="A51" s="16"/>
      <x:c r="B51" s="18"/>
      <x:c r="C51" s="18"/>
      <x:c r="D51" s="18"/>
      <x:c r="E51" s="18"/>
      <x:c r="F51" s="16"/>
      <x:c r="G51" s="2"/>
      <x:c r="H51" s="2"/>
    </x:row>
    <x:row r="52" ht="55" customHeight="1">
      <x:c r="A52" s="23" t="str">
        <x:v>等級別総合原価計算：等価係数で共通費を配分</x:v>
      </x:c>
      <x:c r="B52" s="26"/>
      <x:c r="C52" s="26"/>
      <x:c r="D52" s="26"/>
      <x:c r="E52" s="26"/>
      <x:c r="F52" s="23"/>
      <x:c r="G52" s="2"/>
      <x:c r="H52" s="2"/>
    </x:row>
    <x:row r="53" ht="40" customHeight="1">
      <x:c r="A53" s="16" t="str">
        <x:v>等級</x:v>
      </x:c>
      <x:c r="B53" s="18" t="str">
        <x:v>数量（個）</x:v>
      </x:c>
      <x:c r="C53" s="18" t="str">
        <x:v>等価係数</x:v>
      </x:c>
      <x:c r="D53" s="18" t="str">
        <x:v>積数</x:v>
      </x:c>
      <x:c r="E53" s="18" t="str">
        <x:v>配分原価（円）</x:v>
      </x:c>
      <x:c r="F53" s="16" t="str">
        <x:v>単位原価（円）</x:v>
      </x:c>
      <x:c r="G53" s="2"/>
      <x:c r="H53" s="2"/>
    </x:row>
    <x:row r="54" ht="40" customHeight="1">
      <x:c r="A54" s="16" t="str">
        <x:v>A</x:v>
      </x:c>
      <x:c r="B54" s="20" t="n">
        <x:v>100</x:v>
      </x:c>
      <x:c r="C54" s="20" t="n">
        <x:v>1</x:v>
      </x:c>
      <x:c r="D54" s="18" t="n">
        <x:f>B54*C54</x:f>
        <x:v>100</x:v>
      </x:c>
      <x:c r="E54" s="18" t="n">
        <x:f>D54*$C$57</x:f>
        <x:v>10000</x:v>
      </x:c>
      <x:c r="F54" s="16" t="n">
        <x:f>E54/B54</x:f>
        <x:v>100</x:v>
      </x:c>
      <x:c r="G54" s="2"/>
      <x:c r="H54" s="2"/>
    </x:row>
    <x:row r="55" ht="40" customHeight="1">
      <x:c r="A55" s="16" t="str">
        <x:v>B</x:v>
      </x:c>
      <x:c r="B55" s="20" t="n">
        <x:v>100</x:v>
      </x:c>
      <x:c r="C55" s="20" t="n">
        <x:v>2</x:v>
      </x:c>
      <x:c r="D55" s="18" t="n">
        <x:f>B55*C55</x:f>
        <x:v>200</x:v>
      </x:c>
      <x:c r="E55" s="18" t="n">
        <x:f>D55*$C$57</x:f>
        <x:v>20000</x:v>
      </x:c>
      <x:c r="F55" s="16" t="n">
        <x:f>E55/B55</x:f>
        <x:v>200</x:v>
      </x:c>
      <x:c r="G55" s="2"/>
      <x:c r="H55" s="2"/>
    </x:row>
    <x:row r="56" ht="40" customHeight="1">
      <x:c r="A56" s="16" t="str">
        <x:v>共通原価（円）</x:v>
      </x:c>
      <x:c r="B56" s="20" t="n">
        <x:v>30000</x:v>
      </x:c>
      <x:c r="C56" s="18"/>
      <x:c r="D56" s="18"/>
      <x:c r="E56" s="18"/>
      <x:c r="F56" s="16"/>
      <x:c r="G56" s="2"/>
      <x:c r="H56" s="2"/>
    </x:row>
    <x:row r="57" ht="40" customHeight="1">
      <x:c r="A57" s="16" t="str">
        <x:v>B列＝積数計、C列＝積数当たり費用</x:v>
      </x:c>
      <x:c r="B57" s="18" t="n">
        <x:f>SUM(D54:D55)</x:f>
        <x:v>300</x:v>
      </x:c>
      <x:c r="C57" s="18" t="n">
        <x:f>B56/B57</x:f>
        <x:v>100</x:v>
      </x:c>
      <x:c r="D57" s="18"/>
      <x:c r="E57" s="18"/>
      <x:c r="F57" s="16"/>
      <x:c r="G57" s="2"/>
      <x:c r="H57" s="2"/>
    </x:row>
    <x:row r="58" ht="40" customHeight="1">
      <x:c r="A58" s="16"/>
      <x:c r="B58" s="18"/>
      <x:c r="C58" s="18"/>
      <x:c r="D58" s="18"/>
      <x:c r="E58" s="18"/>
      <x:c r="F58" s="16"/>
      <x:c r="G58" s="2"/>
      <x:c r="H58" s="2"/>
    </x:row>
    <x:row r="59" ht="55" customHeight="1">
      <x:c r="A59" s="23" t="str">
        <x:v>ABC：段取回数と検査回数で活動費を配分</x:v>
      </x:c>
      <x:c r="B59" s="26"/>
      <x:c r="C59" s="26"/>
      <x:c r="D59" s="26"/>
      <x:c r="E59" s="26"/>
      <x:c r="F59" s="23"/>
      <x:c r="G59" s="2"/>
      <x:c r="H59" s="2"/>
    </x:row>
    <x:row r="60" ht="40" customHeight="1">
      <x:c r="A60" s="16" t="str">
        <x:v>段取費（円）</x:v>
      </x:c>
      <x:c r="B60" s="18" t="str">
        <x:v>製品A</x:v>
      </x:c>
      <x:c r="C60" s="18" t="str">
        <x:v>製品B</x:v>
      </x:c>
      <x:c r="D60" s="20" t="n">
        <x:v>60000</x:v>
      </x:c>
      <x:c r="E60" s="18" t="str">
        <x:v>A配分費（円）</x:v>
      </x:c>
      <x:c r="F60" s="16" t="str">
        <x:v>B配分費（円）</x:v>
      </x:c>
      <x:c r="G60" s="2"/>
      <x:c r="H60" s="2"/>
    </x:row>
    <x:row r="61" ht="40" customHeight="1">
      <x:c r="A61" s="16" t="str">
        <x:v>検査費（円）</x:v>
      </x:c>
      <x:c r="B61" s="18"/>
      <x:c r="C61" s="18"/>
      <x:c r="D61" s="20" t="n">
        <x:v>30000</x:v>
      </x:c>
      <x:c r="E61" s="18"/>
      <x:c r="F61" s="16"/>
      <x:c r="G61" s="2"/>
      <x:c r="H61" s="2"/>
    </x:row>
    <x:row r="62" ht="40" customHeight="1">
      <x:c r="A62" s="16" t="str">
        <x:v>段取回数</x:v>
      </x:c>
      <x:c r="B62" s="20" t="n">
        <x:v>2</x:v>
      </x:c>
      <x:c r="C62" s="20" t="n">
        <x:v>4</x:v>
      </x:c>
      <x:c r="D62" s="18" t="n">
        <x:f>B62+C62</x:f>
        <x:v>6</x:v>
      </x:c>
      <x:c r="E62" s="18" t="n">
        <x:f>D60*B62/D62</x:f>
        <x:v>20000</x:v>
      </x:c>
      <x:c r="F62" s="16" t="n">
        <x:f>D60*C62/D62</x:f>
        <x:v>40000</x:v>
      </x:c>
      <x:c r="G62" s="2"/>
      <x:c r="H62" s="2"/>
    </x:row>
    <x:row r="63" ht="40" customHeight="1">
      <x:c r="A63" s="16" t="str">
        <x:v>検査回数</x:v>
      </x:c>
      <x:c r="B63" s="20" t="n">
        <x:v>10</x:v>
      </x:c>
      <x:c r="C63" s="20" t="n">
        <x:v>5</x:v>
      </x:c>
      <x:c r="D63" s="18" t="n">
        <x:f>B63+C63</x:f>
        <x:v>15</x:v>
      </x:c>
      <x:c r="E63" s="18" t="n">
        <x:f>D61*B63/D63</x:f>
        <x:v>20000</x:v>
      </x:c>
      <x:c r="F63" s="16" t="n">
        <x:f>D61*C63/D63</x:f>
        <x:v>10000</x:v>
      </x:c>
      <x:c r="G63" s="2"/>
      <x:c r="H63" s="2"/>
    </x:row>
    <x:row r="64" ht="40" customHeight="1">
      <x:c r="A64" s="16" t="str">
        <x:v>配分計（円）</x:v>
      </x:c>
      <x:c r="B64" s="18"/>
      <x:c r="C64" s="18"/>
      <x:c r="D64" s="18"/>
      <x:c r="E64" s="18" t="n">
        <x:f>SUM(E62:E63)</x:f>
        <x:v>40000</x:v>
      </x:c>
      <x:c r="F64" s="16" t="n">
        <x:f>SUM(F62:F63)</x:f>
        <x:v>50000</x:v>
      </x:c>
      <x:c r="G64" s="2"/>
      <x:c r="H64" s="2"/>
    </x:row>
    <x:row r="65" ht="55" customHeight="1">
      <x:c r="A65" s="23" t="str">
        <x:v>全部／直接比較：生産数量（個）</x:v>
      </x:c>
      <x:c r="B65" s="26" t="n">
        <x:v>100</x:v>
      </x:c>
      <x:c r="C65" s="26"/>
      <x:c r="D65" s="26"/>
      <x:c r="E65" s="26"/>
      <x:c r="F65" s="23"/>
      <x:c r="G65" s="2"/>
      <x:c r="H65" s="2"/>
    </x:row>
    <x:row r="66" ht="40" customHeight="1">
      <x:c r="A66" s="16" t="str">
        <x:v>販売単価（円／個）</x:v>
      </x:c>
      <x:c r="B66" s="20" t="n">
        <x:v>2000</x:v>
      </x:c>
      <x:c r="C66" s="18"/>
      <x:c r="D66" s="18"/>
      <x:c r="E66" s="18"/>
      <x:c r="F66" s="16"/>
      <x:c r="G66" s="2"/>
      <x:c r="H66" s="2"/>
    </x:row>
    <x:row r="67" ht="40" customHeight="1">
      <x:c r="A67" s="16" t="str">
        <x:v>販売数量（個）</x:v>
      </x:c>
      <x:c r="B67" s="20" t="n">
        <x:v>80</x:v>
      </x:c>
      <x:c r="C67" s="18"/>
      <x:c r="D67" s="18"/>
      <x:c r="E67" s="18"/>
      <x:c r="F67" s="16"/>
      <x:c r="G67" s="2"/>
      <x:c r="H67" s="2"/>
    </x:row>
    <x:row r="68" ht="40" customHeight="1">
      <x:c r="A68" s="16" t="str">
        <x:v>変動製造単価（円／個）</x:v>
      </x:c>
      <x:c r="B68" s="20" t="n">
        <x:v>800</x:v>
      </x:c>
      <x:c r="C68" s="18"/>
      <x:c r="D68" s="18"/>
      <x:c r="E68" s="18"/>
      <x:c r="F68" s="16"/>
      <x:c r="G68" s="2"/>
      <x:c r="H68" s="2"/>
    </x:row>
    <x:row r="69" ht="40" customHeight="1">
      <x:c r="A69" s="16" t="str">
        <x:v>固定製造費総額（円）</x:v>
      </x:c>
      <x:c r="B69" s="20" t="n">
        <x:v>60000</x:v>
      </x:c>
      <x:c r="C69" s="18"/>
      <x:c r="D69" s="18"/>
      <x:c r="E69" s="18"/>
      <x:c r="F69" s="16"/>
      <x:c r="G69" s="2"/>
      <x:c r="H69" s="2"/>
    </x:row>
    <x:row r="70" ht="40" customHeight="1">
      <x:c r="A70" s="16" t="str">
        <x:v>固定販管費（円）</x:v>
      </x:c>
      <x:c r="B70" s="20" t="n">
        <x:v>10000</x:v>
      </x:c>
      <x:c r="C70" s="18"/>
      <x:c r="D70" s="18"/>
      <x:c r="E70" s="18"/>
      <x:c r="F70" s="16"/>
      <x:c r="G70" s="2"/>
      <x:c r="H70" s="2"/>
    </x:row>
    <x:row r="71" ht="40" customHeight="1">
      <x:c r="A71" s="16" t="str"/>
      <x:c r="B71" s="18"/>
      <x:c r="C71" s="18"/>
      <x:c r="D71" s="18"/>
      <x:c r="E71" s="18"/>
      <x:c r="F71" s="16"/>
      <x:c r="G71" s="2"/>
      <x:c r="H71" s="2"/>
    </x:row>
    <x:row r="72" ht="70" customHeight="1">
      <x:c r="A72" s="16" t="str">
        <x:v>直接原価計算の利益（円）</x:v>
      </x:c>
      <x:c r="B72" s="18" t="n">
        <x:f>B67*(B66-B68)-B69-B70</x:f>
        <x:v>26000</x:v>
      </x:c>
      <x:c r="C72" s="18"/>
      <x:c r="D72" s="18"/>
      <x:c r="E72" s="18" t="str">
        <x:v>販売数量×（売価−変動費単価）−固定製造費−固定販管費</x:v>
      </x:c>
      <x:c r="F72" s="16"/>
      <x:c r="G72" s="2"/>
      <x:c r="H72" s="2"/>
    </x:row>
    <x:row r="73" ht="70" customHeight="1">
      <x:c r="A73" s="16" t="str">
        <x:v>全部原価の固定製造単価</x:v>
      </x:c>
      <x:c r="B73" s="18" t="n">
        <x:f>B69/B65</x:f>
        <x:v>600</x:v>
      </x:c>
      <x:c r="C73" s="18"/>
      <x:c r="D73" s="18"/>
      <x:c r="E73" s="18" t="str">
        <x:v>期首在庫なし、全固定製造費を当期製品へ配賦する例。</x:v>
      </x:c>
      <x:c r="F73" s="16"/>
      <x:c r="G73" s="2"/>
      <x:c r="H73" s="2"/>
    </x:row>
    <x:row r="74" ht="70" customHeight="1">
      <x:c r="A74" s="16" t="str">
        <x:v>期末在庫内の固定製造費</x:v>
      </x:c>
      <x:c r="B74" s="18" t="n">
        <x:f>(B65-B67)*B73</x:f>
        <x:v>12000</x:v>
      </x:c>
      <x:c r="C74" s="18"/>
      <x:c r="D74" s="18"/>
      <x:c r="E74" s="18" t="str">
        <x:v>期末在庫＝生産100−販売80。未販売分の固定製造費。</x:v>
      </x:c>
      <x:c r="F74" s="16"/>
      <x:c r="G74" s="2"/>
      <x:c r="H74" s="2"/>
    </x:row>
    <x:row r="75" ht="70" customHeight="1">
      <x:c r="A75" s="16" t="str">
        <x:v>全部原価計算の利益（円）</x:v>
      </x:c>
      <x:c r="B75" s="18" t="n">
        <x:f>B72+B74</x:f>
        <x:v>38000</x:v>
      </x:c>
      <x:c r="C75" s="18"/>
      <x:c r="D75" s="18"/>
      <x:c r="E75" s="18" t="str">
        <x:v>全部原価利益＝直接原価利益＋在庫内の固定製造費。</x:v>
      </x:c>
      <x:c r="F75" s="16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</x:sheetData>
  <x:conditionalFormatting sqref="B28:B29">
    <x:cfRule type="cellIs" dxfId="1" priority="1" operator="notEqual">
      <x:formula>0</x:formula>
    </x:cfRule>
  </x:conditionalFormatting>
  <x:conditionalFormatting sqref="B50:B50">
    <x:cfRule type="cellIs" dxfId="2" priority="2" operator="notEqual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3C608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46" hidden="0" customWidth="1"/>
    <x:col min="4" max="4" width="42" hidden="0" customWidth="1"/>
    <x:col min="5" max="5" width="42" hidden="0" customWidth="1"/>
    <x:col min="6" max="6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ERP・RFPで確認する原価要件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6" t="str">
        <x:v>方法の名称だけでなく、対象・期間・差異処理・遡及処理を合わせて決める。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10" t="str">
        <x:v>領域</x:v>
      </x:c>
      <x:c r="B6" s="10" t="str">
        <x:v>確認すること</x:v>
      </x:c>
      <x:c r="C6" s="10" t="str">
        <x:v>質問・要求例</x:v>
      </x:c>
      <x:c r="D6" s="10" t="str">
        <x:v>必要なデータ</x:v>
      </x:c>
      <x:c r="E6" s="10" t="str">
        <x:v>決めない場合の影響</x:v>
      </x:c>
      <x:c r="F6" s="10" t="str">
        <x:v>区分</x:v>
      </x:c>
      <x:c r="G6" s="2"/>
      <x:c r="H6" s="2"/>
    </x:row>
    <x:row r="7" ht="64" customHeight="1">
      <x:c r="A7" s="13" t="str">
        <x:v>①原価の種類</x:v>
      </x:c>
      <x:c r="B7" s="13" t="str">
        <x:v>原価バージョン</x:v>
      </x:c>
      <x:c r="C7" s="13" t="str">
        <x:v>標準・実際・予算・見積を製品／拠点／適用期間別に並行保持できるか。</x:v>
      </x:c>
      <x:c r="D7" s="13" t="str">
        <x:v>BOM、工程、標準工数、材料単価、原価改訂日。</x:v>
      </x:c>
      <x:c r="E7" s="13" t="str">
        <x:v>標準と実際を比較できない、改訂前後の採算が追えない。</x:v>
      </x:c>
      <x:c r="F7" s="13" t="str">
        <x:v>編集</x:v>
      </x:c>
      <x:c r="G7" s="2"/>
      <x:c r="H7" s="2"/>
    </x:row>
    <x:row r="8" ht="64" customHeight="1">
      <x:c r="A8" s="12" t="str">
        <x:v>②在庫</x:v>
      </x:c>
      <x:c r="B8" s="12" t="str">
        <x:v>対象別の評価方法</x:v>
      </x:c>
      <x:c r="C8" s="12" t="str">
        <x:v>原材料・半製品・製品・会社・拠点ごとに方法を設定できるか。</x:v>
      </x:c>
      <x:c r="D8" s="12" t="str">
        <x:v>品目区分、在庫数量・金額、入出庫履歴。</x:v>
      </x:c>
      <x:c r="E8" s="12" t="str">
        <x:v>会社間・在庫種類ごとの原価方針を実装できない。</x:v>
      </x:c>
      <x:c r="F8" s="12" t="str">
        <x:v>編集</x:v>
      </x:c>
      <x:c r="G8" s="2"/>
      <x:c r="H8" s="2"/>
    </x:row>
    <x:row r="9" ht="64" customHeight="1">
      <x:c r="A9" s="13" t="str">
        <x:v>②在庫</x:v>
      </x:c>
      <x:c r="B9" s="13" t="str">
        <x:v>確定単価と仮単価</x:v>
      </x:c>
      <x:c r="C9" s="13" t="str">
        <x:v>総平均の期間、月中仮単価、月次再評価、締め直しはどう動くか。</x:v>
      </x:c>
      <x:c r="D9" s="13" t="str">
        <x:v>計算期間、仮単価、締め日、確定単価。</x:v>
      </x:c>
      <x:c r="E9" s="13" t="str">
        <x:v>月中の粗利が確定値と混在する。</x:v>
      </x:c>
      <x:c r="F9" s="13" t="str">
        <x:v>編集</x:v>
      </x:c>
      <x:c r="G9" s="2"/>
      <x:c r="H9" s="2"/>
    </x:row>
    <x:row r="10" ht="64" customHeight="1">
      <x:c r="A10" s="12" t="str">
        <x:v>②在庫</x:v>
      </x:c>
      <x:c r="B10" s="12" t="str">
        <x:v>物流と評価の分離</x:v>
      </x:c>
      <x:c r="C10" s="12" t="str">
        <x:v>倉庫はFIFO払出、評価は最終仕入や平均でも運用できるか。</x:v>
      </x:c>
      <x:c r="D10" s="12" t="str">
        <x:v>ロット、期限、実物払出履歴、会計単価。</x:v>
      </x:c>
      <x:c r="E10" s="12" t="str">
        <x:v>実物管理のFIFOを評価FIFOと誤認する。</x:v>
      </x:c>
      <x:c r="F10" s="12" t="str">
        <x:v>編集</x:v>
      </x:c>
      <x:c r="G10" s="2"/>
      <x:c r="H10" s="2"/>
    </x:row>
    <x:row r="11" ht="64" customHeight="1">
      <x:c r="A11" s="13" t="str">
        <x:v>②在庫</x:v>
      </x:c>
      <x:c r="B11" s="13" t="str">
        <x:v>例外・遡及</x:v>
      </x:c>
      <x:c r="C11" s="13" t="str">
        <x:v>負在庫、返品、訂正、遡及仕入、追加運賃で単価をどう補正するか。</x:v>
      </x:c>
      <x:c r="D11" s="13" t="str">
        <x:v>取引日時、計上日、関連入荷、付随費用。</x:v>
      </x:c>
      <x:c r="E11" s="13" t="str">
        <x:v>移動平均や売上原価が過去分まで変わる。</x:v>
      </x:c>
      <x:c r="F11" s="13" t="str">
        <x:v>編集</x:v>
      </x:c>
      <x:c r="G11" s="2"/>
      <x:c r="H11" s="2"/>
    </x:row>
    <x:row r="12" ht="64" customHeight="1">
      <x:c r="A12" s="12" t="str">
        <x:v>③集計</x:v>
      </x:c>
      <x:c r="B12" s="12" t="str">
        <x:v>原価対象</x:v>
      </x:c>
      <x:c r="C12" s="12" t="str">
        <x:v>製番・受注・ロット・製品・工程・部門のどこで実績集計するか。</x:v>
      </x:c>
      <x:c r="D12" s="12" t="str">
        <x:v>製造指図、ロット、実績、原価部門。</x:v>
      </x:c>
      <x:c r="E12" s="12" t="str">
        <x:v>望む粒度で採算が出ず、集計を手作業で補う。</x:v>
      </x:c>
      <x:c r="F12" s="12" t="str">
        <x:v>編集</x:v>
      </x:c>
      <x:c r="G12" s="2"/>
      <x:c r="H12" s="2"/>
    </x:row>
    <x:row r="13" ht="64" customHeight="1">
      <x:c r="A13" s="13" t="str">
        <x:v>③数量</x:v>
      </x:c>
      <x:c r="B13" s="13" t="str">
        <x:v>投入・歩留まり</x:v>
      </x:c>
      <x:c r="C13" s="13" t="str">
        <x:v>代替材、追加投入、仕損、再加工、作業くずをどう記録するか。</x:v>
      </x:c>
      <x:c r="D13" s="13" t="str">
        <x:v>投入数量、良品、不良、再加工時間、回収額。</x:v>
      </x:c>
      <x:c r="E13" s="13" t="str">
        <x:v>材料数量差異や仕損の原因が見えない。</x:v>
      </x:c>
      <x:c r="F13" s="13" t="str">
        <x:v>編集</x:v>
      </x:c>
      <x:c r="G13" s="2"/>
      <x:c r="H13" s="2"/>
    </x:row>
    <x:row r="14" ht="64" customHeight="1">
      <x:c r="A14" s="12" t="str">
        <x:v>③仕掛</x:v>
      </x:c>
      <x:c r="B14" s="12" t="str">
        <x:v>換算量・投入点</x:v>
      </x:c>
      <x:c r="C14" s="12" t="str">
        <x:v>材料投入点、加工進捗、期首仕掛の平均／FIFO、工程間振替を扱えるか。</x:v>
      </x:c>
      <x:c r="D14" s="12" t="str">
        <x:v>期首・期末仕掛、進捗率、工程振替。</x:v>
      </x:c>
      <x:c r="E14" s="12" t="str">
        <x:v>月次原価・仕掛評価が歪む。</x:v>
      </x:c>
      <x:c r="F14" s="12" t="str">
        <x:v>編集</x:v>
      </x:c>
      <x:c r="G14" s="2"/>
      <x:c r="H14" s="2"/>
    </x:row>
    <x:row r="15" ht="64" customHeight="1">
      <x:c r="A15" s="13" t="str">
        <x:v>③配賦</x:v>
      </x:c>
      <x:c r="B15" s="13" t="str">
        <x:v>間接費の設計</x:v>
      </x:c>
      <x:c r="C15" s="13" t="str">
        <x:v>補助部門の直接／階梯／相互配賦、配賦基準、固定・変動区分に対応するか。</x:v>
      </x:c>
      <x:c r="D15" s="13" t="str">
        <x:v>部門費、工数、機械時間、能力、サービス量。</x:v>
      </x:c>
      <x:c r="E15" s="13" t="str">
        <x:v>製品ごとの負荷差が採算へ反映されない。</x:v>
      </x:c>
      <x:c r="F15" s="13" t="str">
        <x:v>編集</x:v>
      </x:c>
      <x:c r="G15" s="2"/>
      <x:c r="H15" s="2"/>
    </x:row>
    <x:row r="16" ht="64" customHeight="1">
      <x:c r="A16" s="12" t="str">
        <x:v>③差異</x:v>
      </x:c>
      <x:c r="B16" s="12" t="str">
        <x:v>分析と処理</x:v>
      </x:c>
      <x:c r="C16" s="12" t="str">
        <x:v>購買価格、材料数量、賃率、時間、間接費の予算・能率・操業度差異を出せるか。</x:v>
      </x:c>
      <x:c r="D16" s="12" t="str">
        <x:v>標準量・単価、実際量・単価、予算、操業度。</x:v>
      </x:c>
      <x:c r="E16" s="12" t="str">
        <x:v>差異原因を分けられず、改善箇所がわからない。</x:v>
      </x:c>
      <x:c r="F16" s="12" t="str">
        <x:v>編集</x:v>
      </x:c>
      <x:c r="G16" s="2"/>
      <x:c r="H16" s="2"/>
    </x:row>
    <x:row r="17" ht="64" customHeight="1">
      <x:c r="A17" s="13" t="str">
        <x:v>財務整合</x:v>
      </x:c>
      <x:c r="B17" s="13" t="str">
        <x:v>差異と在庫</x:v>
      </x:c>
      <x:c r="C17" s="13" t="str">
        <x:v>差異を売上原価・在庫へどう処理するか。財務・税務・管理の調整表を出せるか。</x:v>
      </x:c>
      <x:c r="D17" s="13" t="str">
        <x:v>差異残高、在庫数量、売上原価、調整方針。</x:v>
      </x:c>
      <x:c r="E17" s="13" t="str">
        <x:v>管理原価が財務在庫と一致しない。</x:v>
      </x:c>
      <x:c r="F17" s="13" t="str">
        <x:v>編集</x:v>
      </x:c>
      <x:c r="G17" s="2"/>
      <x:c r="H17" s="2"/>
    </x:row>
    <x:row r="18" ht="64" customHeight="1">
      <x:c r="A18" s="12" t="str">
        <x:v>比較検証</x:v>
      </x:c>
      <x:c r="B18" s="12" t="str">
        <x:v>同じ取引で検証</x:v>
      </x:c>
      <x:c r="C18" s="12" t="str">
        <x:v>本書の入出庫例や実際の代表品を同じ条件で複数ERPに計算させる。</x:v>
      </x:c>
      <x:c r="D18" s="12" t="str">
        <x:v>期首、入出庫順、製造実績、配賦条件。</x:v>
      </x:c>
      <x:c r="E18" s="12" t="str">
        <x:v>同じ「平均法」でも条件の違いを機能差と誤認する。</x:v>
      </x:c>
      <x:c r="F18" s="12" t="str">
        <x:v>編集</x:v>
      </x:c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</x:sheetData>
  <x:pageMargins left="0.7" right="0.7" top="0.75" bottom="0.75" header="0.3" footer="0.3"/>
  <x:tableParts count="1">
    <x:tablePart xmlns:r="http://schemas.openxmlformats.org/officeDocument/2006/relationships" r:id="R0c690c66a3ba432a"/>
  </x:tableParts>
</x:worksheet>
</file>

<file path=xl/worksheets/sheet9.xml><?xml version="1.0" encoding="utf-8"?>
<x:worksheet xmlns:x="http://schemas.openxmlformats.org/spreadsheetml/2006/main">
  <x:sheetPr>
    <x:tabColor rgb="FF3C608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50" hidden="0" customWidth="1"/>
    <x:col min="4" max="4" width="78" hidden="0" customWidth="1"/>
    <x:col min="5" max="5" width="52" hidden="0" customWidth="1"/>
    <x:col min="6" max="6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出典・掲載範囲・用語の読み方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6" t="str">
        <x:v>原典はリンク先で確認。説明・数値例・ERP確認項目は学習用に再構成。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10" t="str">
        <x:v>ID</x:v>
      </x:c>
      <x:c r="B6" s="10" t="str">
        <x:v>資料</x:v>
      </x:c>
      <x:c r="C6" s="10" t="str">
        <x:v>参照箇所・掲載範囲</x:v>
      </x:c>
      <x:c r="D6" s="10" t="str">
        <x:v>URL</x:v>
      </x:c>
      <x:c r="E6" s="10" t="str">
        <x:v>補足</x:v>
      </x:c>
      <x:c r="F6" s="10" t="str">
        <x:v>確認日</x:v>
      </x:c>
      <x:c r="G6" s="2"/>
      <x:c r="H6" s="2"/>
    </x:row>
    <x:row r="7" ht="64" customHeight="1">
      <x:c r="A7" s="13" t="str">
        <x:v>S1</x:v>
      </x:c>
      <x:c r="B7" s="13" t="str">
        <x:v>企業会計審議会 原価計算基準</x:v>
      </x:c>
      <x:c r="C7" s="13" t="str">
        <x:v>4：原価概念、8：製造原価要素、部門別・製品別計算、標準・差異処理。</x:v>
      </x:c>
      <x:c r="D7" s="13" t="str">
        <x:v>https://www.asb-j.jp/jp/accounting_standards_system/details.html?topics_id=156</x:v>
      </x:c>
      <x:c r="E7" s="13" t="str">
        <x:v>歴史的記載のLIFO等は現行棚卸資産基準が優先。文言を要約し、主な実務説明を追加。</x:v>
      </x:c>
      <x:c r="F7" s="13" t="str">
        <x:v>2026-10-03</x:v>
      </x:c>
      <x:c r="G7" s="2"/>
      <x:c r="H7" s="2"/>
    </x:row>
    <x:row r="8" ht="64" customHeight="1">
      <x:c r="A8" s="12" t="str">
        <x:v>S2</x:v>
      </x:c>
      <x:c r="B8" s="12" t="str">
        <x:v>ASBJ 企業会計基準第9号</x:v>
      </x:c>
      <x:c r="C8" s="12" t="str">
        <x:v>6-2：個別・FIFO・平均・売価還元、7以降：簿価切下げ、34-4・34-12等。</x:v>
      </x:c>
      <x:c r="D8" s="12" t="str">
        <x:v>https://www.asb-j.jp/jp/accounting_standards_system/details.html?topics_id=24</x:v>
      </x:c>
      <x:c r="E8" s="12" t="str">
        <x:v>最終仕入原価法は基本4方法には含まれない。標準単価は差異処理を伴う制度として区別。</x:v>
      </x:c>
      <x:c r="F8" s="12" t="str">
        <x:v>2026-10-03</x:v>
      </x:c>
      <x:c r="G8" s="2"/>
      <x:c r="H8" s="2"/>
    </x:row>
    <x:row r="9" ht="64" customHeight="1">
      <x:c r="A9" s="13" t="str">
        <x:v>S3</x:v>
      </x:c>
      <x:c r="B9" s="13" t="str">
        <x:v>国税庁 法人税法（基礎編）</x:v>
      </x:c>
      <x:c r="C9" s="13" t="str">
        <x:v>令和8年度、棚卸資産の評価方法（本文48〜50頁付近）。原価法6種類と低価法。</x:v>
      </x:c>
      <x:c r="D9" s="13" t="str">
        <x:v>https://www.nta.go.jp/about/organization/ntc/kohon/houjin/pdf/all.pdf</x:v>
      </x:c>
      <x:c r="E9" s="13" t="str">
        <x:v>財務会計と税務の方法の一覧は同じではない。税務の最終仕入は期末評価の方法。</x:v>
      </x:c>
      <x:c r="F9" s="13" t="str">
        <x:v>2026-10-03</x:v>
      </x:c>
      <x:c r="G9" s="2"/>
      <x:c r="H9" s="2"/>
    </x:row>
    <x:row r="10" ht="64" customHeight="1">
      <x:c r="A10" s="12" t="str">
        <x:v>S4</x:v>
      </x:c>
      <x:c r="B10" s="12" t="str">
        <x:v>財務省 平成21年度法人税制改正</x:v>
      </x:c>
      <x:c r="C10" s="12" t="str">
        <x:v>棚卸資産の評価方法の改正：後入先出法・単純平均法の除外。</x:v>
      </x:c>
      <x:c r="D10" s="12" t="str">
        <x:v>https://www.mof.go.jp/tax_policy/summary/corporation/h21kaiseihoujin.pdf</x:v>
      </x:c>
      <x:c r="E10" s="12" t="str">
        <x:v>現在の一覧はS3と合わせて確認。旧資料に残る方法の位置づけに使用。</x:v>
      </x:c>
      <x:c r="F10" s="12" t="str">
        <x:v>2026-10-03</x:v>
      </x:c>
      <x:c r="G10" s="2"/>
      <x:c r="H10" s="2"/>
    </x:row>
    <x:row r="11" ht="80" customHeight="1">
      <x:c r="A11" s="13" t="str">
        <x:v>S5</x:v>
      </x:c>
      <x:c r="B11" s="13" t="str">
        <x:v>ACCA Activity-based costing</x:v>
      </x:c>
      <x:c r="C11" s="13" t="str">
        <x:v>活動別費用、コストドライバー、製品への活動費配賦。</x:v>
      </x:c>
      <x:c r="D11" s="13" t="str">
        <x:v>https://www.accaglobal.com/gb/en/student/exam-support-resources/fundamentals-exams-study-resources/f5/technical-articles/ABC.html</x:v>
      </x:c>
      <x:c r="E11" s="13" t="str">
        <x:v>ABCの実務補足と数値例の考え方を参照。</x:v>
      </x:c>
      <x:c r="F11" s="13" t="str">
        <x:v>2026-10-03</x:v>
      </x:c>
      <x:c r="G11" s="2"/>
      <x:c r="H11" s="2"/>
    </x:row>
    <x:row r="12" ht="64" customHeight="1">
      <x:c r="A12" s="12" t="str">
        <x:v>S6</x:v>
      </x:c>
      <x:c r="B12" s="12" t="str">
        <x:v>Kaplan・Anderson Time-Driven ABC</x:v>
      </x:c>
      <x:c r="C12" s="12" t="str">
        <x:v>資源能力原価率と活動時間による原価計算。</x:v>
      </x:c>
      <x:c r="D12" s="12" t="str">
        <x:v>https://www.hbs.edu/ris/download.aspx?name=04-045.pdf</x:v>
      </x:c>
      <x:c r="E12" s="12" t="str">
        <x:v>TDABCの原著研究。</x:v>
      </x:c>
      <x:c r="F12" s="12" t="str">
        <x:v>2026-10-03</x:v>
      </x:c>
      <x:c r="G12" s="2"/>
      <x:c r="H12" s="2"/>
    </x:row>
    <x:row r="13" ht="80" customHeight="1">
      <x:c r="A13" s="13" t="str">
        <x:v>S7</x:v>
      </x:c>
      <x:c r="B13" s="13" t="str">
        <x:v>ACCA Relevant costs</x:v>
      </x:c>
      <x:c r="C13" s="13" t="str">
        <x:v>埋没原価、機会原価、将来の差額費用。</x:v>
      </x:c>
      <x:c r="D13" s="13" t="str">
        <x:v>https://www.accaglobal.com/gb/en/student/exam-support-resources/fundamentals-exams-study-resources/f5/technical-articles/relevant-costs.html</x:v>
      </x:c>
      <x:c r="E13" s="13" t="str">
        <x:v>意思決定向け原価区分の補足。</x:v>
      </x:c>
      <x:c r="F13" s="13" t="str">
        <x:v>2026-10-03</x:v>
      </x:c>
      <x:c r="G13" s="2"/>
      <x:c r="H13" s="2"/>
    </x:row>
    <x:row r="14" ht="64" customHeight="1">
      <x:c r="A14" s="12" t="str">
        <x:v>編集</x:v>
      </x:c>
      <x:c r="B14" s="12" t="str">
        <x:v>実務・管理会計の補足</x:v>
      </x:c>
      <x:c r="C14" s="12" t="str">
        <x:v>基準標準、目標・予算、意思決定区分、ABC等の主要な考え方、計算例、ERP確認事項。</x:v>
      </x:c>
      <x:c r="D14" s="12" t="str">
        <x:v>特定製品の仕様・特定企業の運用を示す資料ではない。</x:v>
      </x:c>
      <x:c r="E14" s="12" t="str">
        <x:v>公的資料の列挙とは分けて表示。独自名称・細分化には統一された全種類リストがない。</x:v>
      </x:c>
      <x:c r="F14" s="12" t="str">
        <x:v>2026-10-03</x:v>
      </x:c>
      <x:c r="G14" s="2"/>
      <x:c r="H14" s="2"/>
    </x:row>
    <x:row r="15" ht="64" customHeight="1">
      <x:c r="A15" s="13" t="str">
        <x:v>用語</x:v>
      </x:c>
      <x:c r="B15" s="13" t="str">
        <x:v>原価法</x:v>
      </x:c>
      <x:c r="C15" s="13" t="str">
        <x:v>税務上は取得原価で棚卸資産を評価する区分。一般の会話ではFIFO等の単価計算の意味でも使う。</x:v>
      </x:c>
      <x:c r="D15" s="13" t="str">
        <x:v>本書は文脈に応じて「評価方法」「原価配分」「原価計算」を使い分け。</x:v>
      </x:c>
      <x:c r="E15" s="13" t="str">
        <x:v>低価法は評価基準。FIFO等は原価配分。両者は排他的な一覧ではない。</x:v>
      </x:c>
      <x:c r="F15" s="13" t="str"/>
      <x:c r="G15" s="2"/>
      <x:c r="H15" s="2"/>
    </x:row>
    <x:row r="16" ht="64" customHeight="1">
      <x:c r="A16" s="12" t="str">
        <x:v>用語</x:v>
      </x:c>
      <x:c r="B16" s="12" t="str">
        <x:v>個別法と個別原価計算</x:v>
      </x:c>
      <x:c r="C16" s="12" t="str">
        <x:v>個別法は在庫評価。個別原価計算は製番・案件へ製造費を集計する方法。</x:v>
      </x:c>
      <x:c r="D16" s="12" t="str">
        <x:v>材料の評価は平均法で、製品の集計は個別原価計算という組合せも可能。</x:v>
      </x:c>
      <x:c r="E16" s="12" t="str">
        <x:v>似た名前でも処理する対象が違う。</x:v>
      </x:c>
      <x:c r="F16" s="12" t="str"/>
      <x:c r="G16" s="2"/>
      <x:c r="H16" s="2"/>
    </x:row>
    <x:row r="17" ht="64" customHeight="1">
      <x:c r="A17" s="13" t="str">
        <x:v>用語</x:v>
      </x:c>
      <x:c r="B17" s="13" t="str">
        <x:v>正常原価とnormal costing</x:v>
      </x:c>
      <x:c r="C17" s="13" t="str">
        <x:v>国内基準の正常原価は長期的な標準。英語normal costingは予定間接費配賦を指す場合がある。</x:v>
      </x:c>
      <x:c r="D17" s="13" t="str">
        <x:v>原価の種類と、配賦の計算方式を分けて読む。</x:v>
      </x:c>
      <x:c r="E17" s="13" t="str">
        <x:v>日本語訳だけで同一仕様と判断しない。</x:v>
      </x:c>
      <x:c r="F17" s="13" t="str"/>
      <x:c r="G17" s="2"/>
      <x:c r="H17" s="2"/>
    </x:row>
    <x:row r="18" ht="64" customHeight="1">
      <x:c r="A18" s="12" t="str">
        <x:v>用語</x:v>
      </x:c>
      <x:c r="B18" s="12" t="str">
        <x:v>直接費と変動費</x:v>
      </x:c>
      <x:c r="C18" s="12" t="str">
        <x:v>直接費は追跡可能性、変動費は操業度に対する増減。</x:v>
      </x:c>
      <x:c r="D18" s="12" t="str">
        <x:v>専用設備の固定償却は直接費、共通の従量電力は間接変動費となり得る。</x:v>
      </x:c>
      <x:c r="E18" s="12" t="str">
        <x:v>直接原価計算は通常、変動原価計算を意味する。</x:v>
      </x:c>
      <x:c r="F18" s="12" t="str"/>
      <x:c r="G18" s="2"/>
      <x:c r="H18" s="2"/>
    </x:row>
    <x:row r="19" ht="64" customHeight="1">
      <x:c r="A19" s="13" t="str">
        <x:v>用語</x:v>
      </x:c>
      <x:c r="B19" s="13" t="str">
        <x:v>原価差異の符号</x:v>
      </x:c>
      <x:c r="C19" s="13" t="str">
        <x:v>本書は実際−標準を採用。正なら実際が高い不利差異、負なら有利差異。</x:v>
      </x:c>
      <x:c r="D19" s="13" t="str">
        <x:v>会計システムが標準−実際を採用する場合は符号が逆になる。</x:v>
      </x:c>
      <x:c r="E19" s="13" t="str">
        <x:v>差異を入力・集計するときは符号規約を確認。</x:v>
      </x:c>
      <x:c r="F19" s="13" t="str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</x:sheetData>
  <x:pageMargins left="0.7" right="0.7" top="0.75" bottom="0.75" header="0.3" footer="0.3"/>
  <x:tableParts count="1">
    <x:tablePart xmlns:r="http://schemas.openxmlformats.org/officeDocument/2006/relationships" r:id="R6da741d7be63449f"/>
  </x:tableParts>
</x:worksheet>
</file>